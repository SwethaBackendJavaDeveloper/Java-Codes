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Hope7\Desktop\Swetha\"/>
    </mc:Choice>
  </mc:AlternateContent>
  <xr:revisionPtr revIDLastSave="0" documentId="13_ncr:1_{C9ED5C1C-8323-498D-8F10-CAEE7DDA4C08}" xr6:coauthVersionLast="47" xr6:coauthVersionMax="47" xr10:uidLastSave="{00000000-0000-0000-0000-000000000000}"/>
  <bookViews>
    <workbookView xWindow="-120" yWindow="-120" windowWidth="24240" windowHeight="13140" xr2:uid="{94D9B75D-8CB9-4EF2-9444-A4DA71EEF656}"/>
  </bookViews>
  <sheets>
    <sheet name="Student Data" sheetId="1" r:id="rId1"/>
    <sheet name="Pie Chart - Each Subject" sheetId="2" r:id="rId2"/>
    <sheet name="Bar Chart " sheetId="3" r:id="rId3"/>
    <sheet name="Result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" l="1"/>
  <c r="D20" i="1"/>
  <c r="D21" i="1"/>
  <c r="F17" i="1"/>
  <c r="F16" i="1"/>
  <c r="L3" i="1"/>
  <c r="L4" i="1"/>
  <c r="M4" i="1" s="1"/>
  <c r="Q14" i="1" s="1"/>
  <c r="L5" i="1"/>
  <c r="L6" i="1"/>
  <c r="L7" i="1"/>
  <c r="L8" i="1"/>
  <c r="L9" i="1"/>
  <c r="L10" i="1"/>
  <c r="L11" i="1"/>
  <c r="M11" i="1" s="1"/>
  <c r="L2" i="1"/>
  <c r="K2" i="1"/>
  <c r="N2" i="1" s="1"/>
  <c r="K3" i="1"/>
  <c r="N3" i="1" s="1"/>
  <c r="K4" i="1"/>
  <c r="N4" i="1" s="1"/>
  <c r="Q15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K11" i="1"/>
  <c r="N11" i="1" s="1"/>
  <c r="J3" i="1"/>
  <c r="J4" i="1"/>
  <c r="Q13" i="1" s="1"/>
  <c r="J5" i="1"/>
  <c r="J6" i="1"/>
  <c r="J7" i="1"/>
  <c r="J8" i="1"/>
  <c r="J9" i="1"/>
  <c r="J10" i="1"/>
  <c r="J11" i="1"/>
  <c r="J2" i="1"/>
  <c r="D19" i="1" s="1"/>
  <c r="M3" i="1" l="1"/>
  <c r="M10" i="1"/>
  <c r="M9" i="1"/>
  <c r="M8" i="1"/>
  <c r="M7" i="1"/>
  <c r="M6" i="1"/>
  <c r="M5" i="1"/>
  <c r="M2" i="1"/>
</calcChain>
</file>

<file path=xl/sharedStrings.xml><?xml version="1.0" encoding="utf-8"?>
<sst xmlns="http://schemas.openxmlformats.org/spreadsheetml/2006/main" count="39" uniqueCount="36">
  <si>
    <t>S.No</t>
  </si>
  <si>
    <t>Sudent Names</t>
  </si>
  <si>
    <t>Tamil</t>
  </si>
  <si>
    <t>English</t>
  </si>
  <si>
    <t>Maths</t>
  </si>
  <si>
    <t>Physics</t>
  </si>
  <si>
    <t>Chemistry</t>
  </si>
  <si>
    <t>Biology</t>
  </si>
  <si>
    <t>Total</t>
  </si>
  <si>
    <t>Average</t>
  </si>
  <si>
    <t>Result</t>
  </si>
  <si>
    <t>Grade</t>
  </si>
  <si>
    <t xml:space="preserve">Swetha </t>
  </si>
  <si>
    <t>Keerthana</t>
  </si>
  <si>
    <t>Malar</t>
  </si>
  <si>
    <t>Vaitheeswari</t>
  </si>
  <si>
    <t>Preethi</t>
  </si>
  <si>
    <t>Ramya</t>
  </si>
  <si>
    <t>Aswin Sai</t>
  </si>
  <si>
    <t>Yuganesh</t>
  </si>
  <si>
    <t>Yavanika</t>
  </si>
  <si>
    <t>Shiva Priya</t>
  </si>
  <si>
    <t>Rank</t>
  </si>
  <si>
    <t>XII STD</t>
  </si>
  <si>
    <t>ROLL</t>
  </si>
  <si>
    <t>PRESENT</t>
  </si>
  <si>
    <t>BOYS</t>
  </si>
  <si>
    <t>GIRLS</t>
  </si>
  <si>
    <t>TOTAL</t>
  </si>
  <si>
    <t>NO OF PASS STUDENTS</t>
  </si>
  <si>
    <t>NO OF FAIL
STUDENTS</t>
  </si>
  <si>
    <t>NO OF CENTUM STUDENTS</t>
  </si>
  <si>
    <t>ROLL NO</t>
  </si>
  <si>
    <t>RollNo</t>
  </si>
  <si>
    <t>Name</t>
  </si>
  <si>
    <t>STUDENT RANK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</si>
</sst>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48E8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5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2" fillId="2" borderId="0" xfId="0" applyFont="1" applyFill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0" xfId="0" applyFill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9" borderId="5" xfId="0" applyFill="1" applyBorder="1"/>
    <xf numFmtId="0" fontId="0" fillId="9" borderId="0" xfId="0" applyFill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0" xfId="0" applyFill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0" xfId="0" applyFill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0" xfId="0" applyFill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3" borderId="0" xfId="0" applyFill="1"/>
    <xf numFmtId="0" fontId="0" fillId="13" borderId="6" xfId="0" applyFill="1" applyBorder="1"/>
    <xf numFmtId="0" fontId="0" fillId="13" borderId="7" xfId="0" applyFill="1" applyBorder="1"/>
    <xf numFmtId="0" fontId="0" fillId="13" borderId="8" xfId="0" applyFill="1" applyBorder="1"/>
    <xf numFmtId="0" fontId="0" fillId="13" borderId="9" xfId="0" applyFill="1" applyBorder="1"/>
    <xf numFmtId="0" fontId="7" fillId="2" borderId="1" xfId="2" applyFont="1" applyFill="1" applyBorder="1" applyAlignment="1">
      <alignment horizontal="center"/>
    </xf>
    <xf numFmtId="0" fontId="5" fillId="6" borderId="1" xfId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0" xfId="0" applyFill="1"/>
    <xf numFmtId="0" fontId="9" fillId="14" borderId="1" xfId="0" applyFont="1" applyFill="1" applyBorder="1" applyAlignment="1">
      <alignment horizontal="center"/>
    </xf>
    <xf numFmtId="0" fontId="8" fillId="6" borderId="1" xfId="3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">
    <cellStyle name="60% - Accent2" xfId="1" builtinId="36"/>
    <cellStyle name="Followed Hyperlink" xfId="3" builtinId="9"/>
    <cellStyle name="Hyperlink" xfId="2" builtinId="8"/>
    <cellStyle name="Normal" xfId="0" builtinId="0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800080"/>
      <color rgb="FF0099CC"/>
      <color rgb="FFFF99CC"/>
      <color rgb="FFFF66CC"/>
      <color rgb="FF99FF99"/>
      <color rgb="FF248E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Tamil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Data'!$D$1</c:f>
              <c:strCache>
                <c:ptCount val="1"/>
                <c:pt idx="0">
                  <c:v>Tamil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9-4FB5-89F8-DBB0E5C19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9-4FB5-89F8-DBB0E5C19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9-4FB5-89F8-DBB0E5C19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C9-4FB5-89F8-DBB0E5C19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C9-4FB5-89F8-DBB0E5C19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C9-4FB5-89F8-DBB0E5C19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C9-4FB5-89F8-DBB0E5C19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C9-4FB5-89F8-DBB0E5C19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C9-4FB5-89F8-DBB0E5C19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C9-4FB5-89F8-DBB0E5C19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Data'!$D$2:$D$11</c:f>
              <c:numCache>
                <c:formatCode>General</c:formatCode>
                <c:ptCount val="10"/>
                <c:pt idx="0">
                  <c:v>95</c:v>
                </c:pt>
                <c:pt idx="1">
                  <c:v>80</c:v>
                </c:pt>
                <c:pt idx="2">
                  <c:v>50</c:v>
                </c:pt>
                <c:pt idx="3">
                  <c:v>78</c:v>
                </c:pt>
                <c:pt idx="4">
                  <c:v>60</c:v>
                </c:pt>
                <c:pt idx="5">
                  <c:v>50</c:v>
                </c:pt>
                <c:pt idx="6">
                  <c:v>57</c:v>
                </c:pt>
                <c:pt idx="7">
                  <c:v>45</c:v>
                </c:pt>
                <c:pt idx="8">
                  <c:v>89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0C9-4FB5-89F8-DBB0E5C19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English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Data'!$E$1</c:f>
              <c:strCache>
                <c:ptCount val="1"/>
                <c:pt idx="0">
                  <c:v>English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4C-4365-9600-1FD048A2D7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4C-4365-9600-1FD048A2D7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4C-4365-9600-1FD048A2D7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4C-4365-9600-1FD048A2D7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4C-4365-9600-1FD048A2D7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4C-4365-9600-1FD048A2D7C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4C-4365-9600-1FD048A2D7C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4C-4365-9600-1FD048A2D7C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4C-4365-9600-1FD048A2D7C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4C-4365-9600-1FD048A2D7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Data'!$E$2:$E$11</c:f>
              <c:numCache>
                <c:formatCode>General</c:formatCode>
                <c:ptCount val="10"/>
                <c:pt idx="0">
                  <c:v>90</c:v>
                </c:pt>
                <c:pt idx="1">
                  <c:v>85</c:v>
                </c:pt>
                <c:pt idx="2">
                  <c:v>45</c:v>
                </c:pt>
                <c:pt idx="3">
                  <c:v>77</c:v>
                </c:pt>
                <c:pt idx="4">
                  <c:v>65</c:v>
                </c:pt>
                <c:pt idx="5">
                  <c:v>62</c:v>
                </c:pt>
                <c:pt idx="6">
                  <c:v>78</c:v>
                </c:pt>
                <c:pt idx="7">
                  <c:v>52</c:v>
                </c:pt>
                <c:pt idx="8">
                  <c:v>75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4C-4365-9600-1FD048A2D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Maths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Data'!$F$1</c:f>
              <c:strCache>
                <c:ptCount val="1"/>
                <c:pt idx="0">
                  <c:v>Maths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9-4FB5-89F8-DBB0E5C19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9-4FB5-89F8-DBB0E5C19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9-4FB5-89F8-DBB0E5C19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C9-4FB5-89F8-DBB0E5C19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C9-4FB5-89F8-DBB0E5C19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C9-4FB5-89F8-DBB0E5C19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C9-4FB5-89F8-DBB0E5C19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C9-4FB5-89F8-DBB0E5C19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C9-4FB5-89F8-DBB0E5C19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C9-4FB5-89F8-DBB0E5C19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Data'!$F$2:$F$11</c:f>
              <c:numCache>
                <c:formatCode>General</c:formatCode>
                <c:ptCount val="10"/>
                <c:pt idx="0">
                  <c:v>100</c:v>
                </c:pt>
                <c:pt idx="1">
                  <c:v>82</c:v>
                </c:pt>
                <c:pt idx="2">
                  <c:v>35</c:v>
                </c:pt>
                <c:pt idx="3">
                  <c:v>69</c:v>
                </c:pt>
                <c:pt idx="4">
                  <c:v>66</c:v>
                </c:pt>
                <c:pt idx="5">
                  <c:v>67</c:v>
                </c:pt>
                <c:pt idx="6">
                  <c:v>89</c:v>
                </c:pt>
                <c:pt idx="7">
                  <c:v>85</c:v>
                </c:pt>
                <c:pt idx="8">
                  <c:v>96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0C9-4FB5-89F8-DBB0E5C19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Physics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Data'!$G$1</c:f>
              <c:strCache>
                <c:ptCount val="1"/>
                <c:pt idx="0">
                  <c:v>Physics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9-4FB5-89F8-DBB0E5C19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9-4FB5-89F8-DBB0E5C19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9-4FB5-89F8-DBB0E5C19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C9-4FB5-89F8-DBB0E5C19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C9-4FB5-89F8-DBB0E5C19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C9-4FB5-89F8-DBB0E5C19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C9-4FB5-89F8-DBB0E5C19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C9-4FB5-89F8-DBB0E5C19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C9-4FB5-89F8-DBB0E5C19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C9-4FB5-89F8-DBB0E5C19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Data'!$G$2:$G$11</c:f>
              <c:numCache>
                <c:formatCode>General</c:formatCode>
                <c:ptCount val="10"/>
                <c:pt idx="0">
                  <c:v>96</c:v>
                </c:pt>
                <c:pt idx="1">
                  <c:v>74</c:v>
                </c:pt>
                <c:pt idx="2">
                  <c:v>34</c:v>
                </c:pt>
                <c:pt idx="3">
                  <c:v>71</c:v>
                </c:pt>
                <c:pt idx="4">
                  <c:v>62</c:v>
                </c:pt>
                <c:pt idx="5">
                  <c:v>58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0C9-4FB5-89F8-DBB0E5C19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Chemistry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Data'!$H$1</c:f>
              <c:strCache>
                <c:ptCount val="1"/>
                <c:pt idx="0">
                  <c:v>Chemistry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9-4FB5-89F8-DBB0E5C19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9-4FB5-89F8-DBB0E5C19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9-4FB5-89F8-DBB0E5C19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C9-4FB5-89F8-DBB0E5C19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C9-4FB5-89F8-DBB0E5C19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C9-4FB5-89F8-DBB0E5C19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C9-4FB5-89F8-DBB0E5C19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C9-4FB5-89F8-DBB0E5C19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C9-4FB5-89F8-DBB0E5C19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C9-4FB5-89F8-DBB0E5C19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Data'!$H$2:$H$11</c:f>
              <c:numCache>
                <c:formatCode>General</c:formatCode>
                <c:ptCount val="10"/>
                <c:pt idx="0">
                  <c:v>85</c:v>
                </c:pt>
                <c:pt idx="1">
                  <c:v>83</c:v>
                </c:pt>
                <c:pt idx="2">
                  <c:v>33</c:v>
                </c:pt>
                <c:pt idx="3">
                  <c:v>70</c:v>
                </c:pt>
                <c:pt idx="4">
                  <c:v>78</c:v>
                </c:pt>
                <c:pt idx="5">
                  <c:v>79</c:v>
                </c:pt>
                <c:pt idx="6">
                  <c:v>56</c:v>
                </c:pt>
                <c:pt idx="7">
                  <c:v>84</c:v>
                </c:pt>
                <c:pt idx="8">
                  <c:v>83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0C9-4FB5-89F8-DBB0E5C19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Biology</a:t>
            </a:r>
          </a:p>
        </c:rich>
      </c:tx>
      <c:layout>
        <c:manualLayout>
          <c:xMode val="edge"/>
          <c:yMode val="edge"/>
          <c:x val="6.104855643044615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'Student Data'!$I$1</c:f>
              <c:strCache>
                <c:ptCount val="1"/>
                <c:pt idx="0">
                  <c:v>Biology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C9-4FB5-89F8-DBB0E5C199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C9-4FB5-89F8-DBB0E5C199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C9-4FB5-89F8-DBB0E5C199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C9-4FB5-89F8-DBB0E5C199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C9-4FB5-89F8-DBB0E5C199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C9-4FB5-89F8-DBB0E5C199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C9-4FB5-89F8-DBB0E5C199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0C9-4FB5-89F8-DBB0E5C199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0C9-4FB5-89F8-DBB0E5C199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C9-4FB5-89F8-DBB0E5C199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Data'!$I$2:$I$11</c:f>
              <c:numCache>
                <c:formatCode>General</c:formatCode>
                <c:ptCount val="10"/>
                <c:pt idx="0">
                  <c:v>92</c:v>
                </c:pt>
                <c:pt idx="1">
                  <c:v>100</c:v>
                </c:pt>
                <c:pt idx="2">
                  <c:v>21</c:v>
                </c:pt>
                <c:pt idx="3">
                  <c:v>72</c:v>
                </c:pt>
                <c:pt idx="4">
                  <c:v>80</c:v>
                </c:pt>
                <c:pt idx="5">
                  <c:v>82</c:v>
                </c:pt>
                <c:pt idx="6">
                  <c:v>73</c:v>
                </c:pt>
                <c:pt idx="7">
                  <c:v>72</c:v>
                </c:pt>
                <c:pt idx="8">
                  <c:v>74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0C9-4FB5-89F8-DBB0E5C19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TOTAL MARKS</a:t>
            </a:r>
          </a:p>
        </c:rich>
      </c:tx>
      <c:layout>
        <c:manualLayout>
          <c:xMode val="edge"/>
          <c:yMode val="edge"/>
          <c:x val="0.34464467148218048"/>
          <c:y val="2.55357920461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'Student Data'!$D$1</c:f>
              <c:strCache>
                <c:ptCount val="1"/>
                <c:pt idx="0">
                  <c:v>Tamil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Data'!$D$2:$D$11</c:f>
              <c:numCache>
                <c:formatCode>General</c:formatCode>
                <c:ptCount val="10"/>
                <c:pt idx="0">
                  <c:v>95</c:v>
                </c:pt>
                <c:pt idx="1">
                  <c:v>80</c:v>
                </c:pt>
                <c:pt idx="2">
                  <c:v>50</c:v>
                </c:pt>
                <c:pt idx="3">
                  <c:v>78</c:v>
                </c:pt>
                <c:pt idx="4">
                  <c:v>60</c:v>
                </c:pt>
                <c:pt idx="5">
                  <c:v>50</c:v>
                </c:pt>
                <c:pt idx="6">
                  <c:v>57</c:v>
                </c:pt>
                <c:pt idx="7">
                  <c:v>45</c:v>
                </c:pt>
                <c:pt idx="8">
                  <c:v>89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E-41A1-88EC-03644EA931A4}"/>
            </c:ext>
          </c:extLst>
        </c:ser>
        <c:ser>
          <c:idx val="1"/>
          <c:order val="1"/>
          <c:tx>
            <c:strRef>
              <c:f>'Student Data'!$E$1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Data'!$E$2:$E$11</c:f>
              <c:numCache>
                <c:formatCode>General</c:formatCode>
                <c:ptCount val="10"/>
                <c:pt idx="0">
                  <c:v>90</c:v>
                </c:pt>
                <c:pt idx="1">
                  <c:v>85</c:v>
                </c:pt>
                <c:pt idx="2">
                  <c:v>45</c:v>
                </c:pt>
                <c:pt idx="3">
                  <c:v>77</c:v>
                </c:pt>
                <c:pt idx="4">
                  <c:v>65</c:v>
                </c:pt>
                <c:pt idx="5">
                  <c:v>62</c:v>
                </c:pt>
                <c:pt idx="6">
                  <c:v>78</c:v>
                </c:pt>
                <c:pt idx="7">
                  <c:v>52</c:v>
                </c:pt>
                <c:pt idx="8">
                  <c:v>75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E-41A1-88EC-03644EA931A4}"/>
            </c:ext>
          </c:extLst>
        </c:ser>
        <c:ser>
          <c:idx val="2"/>
          <c:order val="2"/>
          <c:tx>
            <c:strRef>
              <c:f>'Student Data'!$F$1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Data'!$F$2:$F$11</c:f>
              <c:numCache>
                <c:formatCode>General</c:formatCode>
                <c:ptCount val="10"/>
                <c:pt idx="0">
                  <c:v>100</c:v>
                </c:pt>
                <c:pt idx="1">
                  <c:v>82</c:v>
                </c:pt>
                <c:pt idx="2">
                  <c:v>35</c:v>
                </c:pt>
                <c:pt idx="3">
                  <c:v>69</c:v>
                </c:pt>
                <c:pt idx="4">
                  <c:v>66</c:v>
                </c:pt>
                <c:pt idx="5">
                  <c:v>67</c:v>
                </c:pt>
                <c:pt idx="6">
                  <c:v>89</c:v>
                </c:pt>
                <c:pt idx="7">
                  <c:v>85</c:v>
                </c:pt>
                <c:pt idx="8">
                  <c:v>96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E-41A1-88EC-03644EA931A4}"/>
            </c:ext>
          </c:extLst>
        </c:ser>
        <c:ser>
          <c:idx val="3"/>
          <c:order val="3"/>
          <c:tx>
            <c:strRef>
              <c:f>'Student Data'!$G$1</c:f>
              <c:strCache>
                <c:ptCount val="1"/>
                <c:pt idx="0">
                  <c:v>Physics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Data'!$G$2:$G$11</c:f>
              <c:numCache>
                <c:formatCode>General</c:formatCode>
                <c:ptCount val="10"/>
                <c:pt idx="0">
                  <c:v>96</c:v>
                </c:pt>
                <c:pt idx="1">
                  <c:v>74</c:v>
                </c:pt>
                <c:pt idx="2">
                  <c:v>34</c:v>
                </c:pt>
                <c:pt idx="3">
                  <c:v>71</c:v>
                </c:pt>
                <c:pt idx="4">
                  <c:v>62</c:v>
                </c:pt>
                <c:pt idx="5">
                  <c:v>58</c:v>
                </c:pt>
                <c:pt idx="6">
                  <c:v>90</c:v>
                </c:pt>
                <c:pt idx="7">
                  <c:v>74</c:v>
                </c:pt>
                <c:pt idx="8">
                  <c:v>82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0E-41A1-88EC-03644EA931A4}"/>
            </c:ext>
          </c:extLst>
        </c:ser>
        <c:ser>
          <c:idx val="4"/>
          <c:order val="4"/>
          <c:tx>
            <c:strRef>
              <c:f>'Student Data'!$H$1</c:f>
              <c:strCache>
                <c:ptCount val="1"/>
                <c:pt idx="0">
                  <c:v>Chemistry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Data'!$H$2:$H$11</c:f>
              <c:numCache>
                <c:formatCode>General</c:formatCode>
                <c:ptCount val="10"/>
                <c:pt idx="0">
                  <c:v>85</c:v>
                </c:pt>
                <c:pt idx="1">
                  <c:v>83</c:v>
                </c:pt>
                <c:pt idx="2">
                  <c:v>33</c:v>
                </c:pt>
                <c:pt idx="3">
                  <c:v>70</c:v>
                </c:pt>
                <c:pt idx="4">
                  <c:v>78</c:v>
                </c:pt>
                <c:pt idx="5">
                  <c:v>79</c:v>
                </c:pt>
                <c:pt idx="6">
                  <c:v>56</c:v>
                </c:pt>
                <c:pt idx="7">
                  <c:v>84</c:v>
                </c:pt>
                <c:pt idx="8">
                  <c:v>83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0E-41A1-88EC-03644EA931A4}"/>
            </c:ext>
          </c:extLst>
        </c:ser>
        <c:ser>
          <c:idx val="5"/>
          <c:order val="5"/>
          <c:tx>
            <c:strRef>
              <c:f>'Student Data'!$I$1</c:f>
              <c:strCache>
                <c:ptCount val="1"/>
                <c:pt idx="0">
                  <c:v>Biology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Data'!$I$2:$I$11</c:f>
              <c:numCache>
                <c:formatCode>General</c:formatCode>
                <c:ptCount val="10"/>
                <c:pt idx="0">
                  <c:v>92</c:v>
                </c:pt>
                <c:pt idx="1">
                  <c:v>100</c:v>
                </c:pt>
                <c:pt idx="2">
                  <c:v>21</c:v>
                </c:pt>
                <c:pt idx="3">
                  <c:v>72</c:v>
                </c:pt>
                <c:pt idx="4">
                  <c:v>80</c:v>
                </c:pt>
                <c:pt idx="5">
                  <c:v>82</c:v>
                </c:pt>
                <c:pt idx="6">
                  <c:v>73</c:v>
                </c:pt>
                <c:pt idx="7">
                  <c:v>72</c:v>
                </c:pt>
                <c:pt idx="8">
                  <c:v>74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0E-41A1-88EC-03644EA931A4}"/>
            </c:ext>
          </c:extLst>
        </c:ser>
        <c:ser>
          <c:idx val="6"/>
          <c:order val="6"/>
          <c:tx>
            <c:strRef>
              <c:f>'Student Data'!$J$1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'Student Data'!$C$2:$C$11</c:f>
              <c:strCache>
                <c:ptCount val="10"/>
                <c:pt idx="0">
                  <c:v>Swetha </c:v>
                </c:pt>
                <c:pt idx="1">
                  <c:v>Keerthana</c:v>
                </c:pt>
                <c:pt idx="2">
                  <c:v>Malar</c:v>
                </c:pt>
                <c:pt idx="3">
                  <c:v>Vaitheeswari</c:v>
                </c:pt>
                <c:pt idx="4">
                  <c:v>Preethi</c:v>
                </c:pt>
                <c:pt idx="5">
                  <c:v>Ramya</c:v>
                </c:pt>
                <c:pt idx="6">
                  <c:v>Aswin Sai</c:v>
                </c:pt>
                <c:pt idx="7">
                  <c:v>Yuganesh</c:v>
                </c:pt>
                <c:pt idx="8">
                  <c:v>Yavanika</c:v>
                </c:pt>
                <c:pt idx="9">
                  <c:v>Shiva Priya</c:v>
                </c:pt>
              </c:strCache>
            </c:strRef>
          </c:cat>
          <c:val>
            <c:numRef>
              <c:f>'Student Data'!$J$2:$J$11</c:f>
              <c:numCache>
                <c:formatCode>General</c:formatCode>
                <c:ptCount val="10"/>
                <c:pt idx="0">
                  <c:v>558</c:v>
                </c:pt>
                <c:pt idx="1">
                  <c:v>504</c:v>
                </c:pt>
                <c:pt idx="2">
                  <c:v>218</c:v>
                </c:pt>
                <c:pt idx="3">
                  <c:v>437</c:v>
                </c:pt>
                <c:pt idx="4">
                  <c:v>411</c:v>
                </c:pt>
                <c:pt idx="5">
                  <c:v>398</c:v>
                </c:pt>
                <c:pt idx="6">
                  <c:v>443</c:v>
                </c:pt>
                <c:pt idx="7">
                  <c:v>412</c:v>
                </c:pt>
                <c:pt idx="8">
                  <c:v>499</c:v>
                </c:pt>
                <c:pt idx="9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E-41A1-88EC-03644EA9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6149695"/>
        <c:axId val="893927247"/>
      </c:barChart>
      <c:catAx>
        <c:axId val="121614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927247"/>
        <c:crosses val="autoZero"/>
        <c:auto val="1"/>
        <c:lblAlgn val="ctr"/>
        <c:lblOffset val="100"/>
        <c:noMultiLvlLbl val="0"/>
      </c:catAx>
      <c:valAx>
        <c:axId val="89392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49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No of Pass and Fail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Data'!$C$19:$C$20</c:f>
              <c:strCache>
                <c:ptCount val="2"/>
                <c:pt idx="0">
                  <c:v>NO OF PASS STUDENTS</c:v>
                </c:pt>
                <c:pt idx="1">
                  <c:v>NO OF FAIL
STUDENTS</c:v>
                </c:pt>
              </c:strCache>
            </c:strRef>
          </c:cat>
          <c:val>
            <c:numRef>
              <c:f>'Student Data'!$D$19:$D$20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2-418F-82EA-23CD167738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395135"/>
        <c:axId val="1247400959"/>
      </c:barChart>
      <c:catAx>
        <c:axId val="124739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48E8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00959"/>
        <c:crosses val="autoZero"/>
        <c:auto val="1"/>
        <c:lblAlgn val="ctr"/>
        <c:lblOffset val="100"/>
        <c:noMultiLvlLbl val="0"/>
      </c:catAx>
      <c:valAx>
        <c:axId val="124740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9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</xdr:row>
      <xdr:rowOff>28575</xdr:rowOff>
    </xdr:from>
    <xdr:to>
      <xdr:col>15</xdr:col>
      <xdr:colOff>552450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130D7-F28C-33F3-4B2C-27D759722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85725</xdr:rowOff>
    </xdr:from>
    <xdr:to>
      <xdr:col>16</xdr:col>
      <xdr:colOff>57149</xdr:colOff>
      <xdr:row>42</xdr:row>
      <xdr:rowOff>104775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1A95BAB-17A9-0D9E-AF6E-14AA7D5E4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19049</xdr:colOff>
      <xdr:row>49</xdr:row>
      <xdr:rowOff>180976</xdr:rowOff>
    </xdr:from>
    <xdr:to>
      <xdr:col>16</xdr:col>
      <xdr:colOff>47624</xdr:colOff>
      <xdr:row>65</xdr:row>
      <xdr:rowOff>85726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21BC3ABF-6586-D543-2D9C-72306550F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72</xdr:row>
      <xdr:rowOff>0</xdr:rowOff>
    </xdr:from>
    <xdr:to>
      <xdr:col>16</xdr:col>
      <xdr:colOff>0</xdr:colOff>
      <xdr:row>87</xdr:row>
      <xdr:rowOff>171450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4337000C-AC53-FF17-3B1D-30C55021A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600074</xdr:colOff>
      <xdr:row>93</xdr:row>
      <xdr:rowOff>185736</xdr:rowOff>
    </xdr:from>
    <xdr:to>
      <xdr:col>16</xdr:col>
      <xdr:colOff>123825</xdr:colOff>
      <xdr:row>109</xdr:row>
      <xdr:rowOff>171450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7C9E35C1-50C4-F8F2-6D17-882DDA3B6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9523</xdr:colOff>
      <xdr:row>116</xdr:row>
      <xdr:rowOff>14286</xdr:rowOff>
    </xdr:from>
    <xdr:to>
      <xdr:col>16</xdr:col>
      <xdr:colOff>19050</xdr:colOff>
      <xdr:row>132</xdr:row>
      <xdr:rowOff>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DEA4BAFD-2EA5-7AE3-C630-BCB3D0C85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4</xdr:row>
      <xdr:rowOff>114300</xdr:rowOff>
    </xdr:from>
    <xdr:to>
      <xdr:col>17</xdr:col>
      <xdr:colOff>333375</xdr:colOff>
      <xdr:row>24</xdr:row>
      <xdr:rowOff>95249</xdr:rowOff>
    </xdr:to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B579166A-95AE-4977-8BBE-34D0FBEE8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3657600" y="714375"/>
    <xdr:ext cx="6229350" cy="2733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2DC02-C4CC-404C-B4BE-6CDE57D8D7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B14B-ABE3-4815-8838-5E231A720FAD}">
  <dimension ref="A1:Q21"/>
  <sheetViews>
    <sheetView tabSelected="1" workbookViewId="0">
      <selection activeCell="I17" sqref="I17"/>
    </sheetView>
  </sheetViews>
  <sheetFormatPr defaultRowHeight="15" x14ac:dyDescent="0.25"/>
  <cols>
    <col min="3" max="3" width="28.5703125" customWidth="1"/>
    <col min="8" max="8" width="11" customWidth="1"/>
    <col min="14" max="14" width="16.7109375" customWidth="1"/>
    <col min="15" max="15" width="10.42578125" customWidth="1"/>
    <col min="16" max="16" width="23.85546875" customWidth="1"/>
    <col min="17" max="17" width="13.7109375" customWidth="1"/>
  </cols>
  <sheetData>
    <row r="1" spans="1:17" s="1" customFormat="1" ht="30" customHeight="1" x14ac:dyDescent="0.25">
      <c r="A1" s="5" t="s">
        <v>0</v>
      </c>
      <c r="B1" s="5" t="s">
        <v>32</v>
      </c>
      <c r="C1" s="5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81" t="s">
        <v>8</v>
      </c>
      <c r="K1" s="5" t="s">
        <v>9</v>
      </c>
      <c r="L1" s="80" t="s">
        <v>10</v>
      </c>
      <c r="M1" s="5" t="s">
        <v>22</v>
      </c>
      <c r="N1" s="5" t="s">
        <v>11</v>
      </c>
    </row>
    <row r="2" spans="1:17" x14ac:dyDescent="0.25">
      <c r="A2" s="2">
        <v>1</v>
      </c>
      <c r="B2" s="2">
        <v>58001</v>
      </c>
      <c r="C2" s="2" t="s">
        <v>12</v>
      </c>
      <c r="D2" s="2">
        <v>95</v>
      </c>
      <c r="E2" s="2">
        <v>90</v>
      </c>
      <c r="F2" s="2">
        <v>100</v>
      </c>
      <c r="G2" s="2">
        <v>96</v>
      </c>
      <c r="H2" s="2">
        <v>85</v>
      </c>
      <c r="I2" s="2">
        <v>92</v>
      </c>
      <c r="J2" s="2">
        <f>SUM(D2:I2)</f>
        <v>558</v>
      </c>
      <c r="K2" s="2">
        <f>AVERAGE(D2:I2)</f>
        <v>93</v>
      </c>
      <c r="L2" s="2" t="str">
        <f>IF(AND(D2&gt;=35,E2&gt;=35,F2&gt;=35,G2&gt;=35,H2&gt;=35,I2&gt;=35),"PASS","FAIL")</f>
        <v>PASS</v>
      </c>
      <c r="M2" s="2">
        <f>IF(L2="PASS",RANK(J2,$J$2:$J$11,0),"NO RANK")</f>
        <v>1</v>
      </c>
      <c r="N2" s="2" t="str">
        <f>IF(K2&gt;90,"Excellent",IF(K2&gt;85,"A+",IF(K2&gt;80,"A",IF(K2&gt;70,"B",IF(K2&gt;60,"C",IF(K2&gt;50,"D",IF(K2&gt;40,"E","NO GRADE")))))))</f>
        <v>Excellent</v>
      </c>
    </row>
    <row r="3" spans="1:17" x14ac:dyDescent="0.25">
      <c r="A3" s="2">
        <v>2</v>
      </c>
      <c r="B3" s="2">
        <v>58002</v>
      </c>
      <c r="C3" s="2" t="s">
        <v>13</v>
      </c>
      <c r="D3" s="2">
        <v>80</v>
      </c>
      <c r="E3" s="2">
        <v>85</v>
      </c>
      <c r="F3" s="2">
        <v>82</v>
      </c>
      <c r="G3" s="2">
        <v>74</v>
      </c>
      <c r="H3" s="2">
        <v>83</v>
      </c>
      <c r="I3" s="2">
        <v>100</v>
      </c>
      <c r="J3" s="2">
        <f t="shared" ref="J3:J11" si="0">SUM(D3:I3)</f>
        <v>504</v>
      </c>
      <c r="K3" s="2">
        <f t="shared" ref="K3:K11" si="1">AVERAGE(D3:I3)</f>
        <v>84</v>
      </c>
      <c r="L3" s="2" t="str">
        <f t="shared" ref="L3:L11" si="2">IF(AND(D3&gt;=35,E3&gt;=35,F3&gt;=35,G3&gt;=35,H3&gt;=35,I3&gt;=35),"PASS","FAIL")</f>
        <v>PASS</v>
      </c>
      <c r="M3" s="2">
        <f t="shared" ref="M3:M11" si="3">IF(L3="PASS",RANK(J3,$J$2:$J$11,0),"NO RANK")</f>
        <v>2</v>
      </c>
      <c r="N3" s="2" t="str">
        <f t="shared" ref="N3:N11" si="4">IF(K3&gt;90,"Excellent",IF(K3&gt;85,"A+",IF(K3&gt;80,"A",IF(K3&gt;70,"B",IF(K3&gt;60,"C",IF(K3&gt;50,"D",IF(K3&gt;40,"E","NO GRADE")))))))</f>
        <v>A</v>
      </c>
    </row>
    <row r="4" spans="1:17" x14ac:dyDescent="0.25">
      <c r="A4" s="2">
        <v>3</v>
      </c>
      <c r="B4" s="2">
        <v>58003</v>
      </c>
      <c r="C4" s="2" t="s">
        <v>14</v>
      </c>
      <c r="D4" s="2">
        <v>50</v>
      </c>
      <c r="E4" s="2">
        <v>45</v>
      </c>
      <c r="F4" s="2">
        <v>35</v>
      </c>
      <c r="G4" s="2">
        <v>34</v>
      </c>
      <c r="H4" s="2">
        <v>33</v>
      </c>
      <c r="I4" s="2">
        <v>21</v>
      </c>
      <c r="J4" s="2">
        <f t="shared" si="0"/>
        <v>218</v>
      </c>
      <c r="K4" s="2">
        <f t="shared" si="1"/>
        <v>36.333333333333336</v>
      </c>
      <c r="L4" s="2" t="str">
        <f t="shared" si="2"/>
        <v>FAIL</v>
      </c>
      <c r="M4" s="2" t="str">
        <f t="shared" si="3"/>
        <v>NO RANK</v>
      </c>
      <c r="N4" s="2" t="str">
        <f t="shared" si="4"/>
        <v>NO GRADE</v>
      </c>
    </row>
    <row r="5" spans="1:17" x14ac:dyDescent="0.25">
      <c r="A5" s="2">
        <v>4</v>
      </c>
      <c r="B5" s="2">
        <v>58004</v>
      </c>
      <c r="C5" s="2" t="s">
        <v>15</v>
      </c>
      <c r="D5" s="2">
        <v>78</v>
      </c>
      <c r="E5" s="2">
        <v>77</v>
      </c>
      <c r="F5" s="2">
        <v>69</v>
      </c>
      <c r="G5" s="2">
        <v>71</v>
      </c>
      <c r="H5" s="2">
        <v>70</v>
      </c>
      <c r="I5" s="2">
        <v>72</v>
      </c>
      <c r="J5" s="2">
        <f t="shared" si="0"/>
        <v>437</v>
      </c>
      <c r="K5" s="2">
        <f t="shared" si="1"/>
        <v>72.833333333333329</v>
      </c>
      <c r="L5" s="2" t="str">
        <f t="shared" si="2"/>
        <v>PASS</v>
      </c>
      <c r="M5" s="2">
        <f t="shared" si="3"/>
        <v>5</v>
      </c>
      <c r="N5" s="2" t="str">
        <f t="shared" si="4"/>
        <v>B</v>
      </c>
    </row>
    <row r="6" spans="1:17" x14ac:dyDescent="0.25">
      <c r="A6" s="2">
        <v>5</v>
      </c>
      <c r="B6" s="2">
        <v>58005</v>
      </c>
      <c r="C6" s="2" t="s">
        <v>16</v>
      </c>
      <c r="D6" s="2">
        <v>60</v>
      </c>
      <c r="E6" s="2">
        <v>65</v>
      </c>
      <c r="F6" s="2">
        <v>66</v>
      </c>
      <c r="G6" s="2">
        <v>62</v>
      </c>
      <c r="H6" s="2">
        <v>78</v>
      </c>
      <c r="I6" s="2">
        <v>80</v>
      </c>
      <c r="J6" s="2">
        <f t="shared" si="0"/>
        <v>411</v>
      </c>
      <c r="K6" s="2">
        <f t="shared" si="1"/>
        <v>68.5</v>
      </c>
      <c r="L6" s="2" t="str">
        <f t="shared" si="2"/>
        <v>PASS</v>
      </c>
      <c r="M6" s="2">
        <f t="shared" si="3"/>
        <v>7</v>
      </c>
      <c r="N6" s="2" t="str">
        <f t="shared" si="4"/>
        <v>C</v>
      </c>
    </row>
    <row r="7" spans="1:17" x14ac:dyDescent="0.25">
      <c r="A7" s="2">
        <v>6</v>
      </c>
      <c r="B7" s="2">
        <v>58006</v>
      </c>
      <c r="C7" s="2" t="s">
        <v>17</v>
      </c>
      <c r="D7" s="2">
        <v>50</v>
      </c>
      <c r="E7" s="2">
        <v>62</v>
      </c>
      <c r="F7" s="2">
        <v>67</v>
      </c>
      <c r="G7" s="2">
        <v>58</v>
      </c>
      <c r="H7" s="2">
        <v>79</v>
      </c>
      <c r="I7" s="2">
        <v>82</v>
      </c>
      <c r="J7" s="2">
        <f t="shared" si="0"/>
        <v>398</v>
      </c>
      <c r="K7" s="2">
        <f t="shared" si="1"/>
        <v>66.333333333333329</v>
      </c>
      <c r="L7" s="2" t="str">
        <f t="shared" si="2"/>
        <v>PASS</v>
      </c>
      <c r="M7" s="2">
        <f t="shared" si="3"/>
        <v>8</v>
      </c>
      <c r="N7" s="2" t="str">
        <f t="shared" si="4"/>
        <v>C</v>
      </c>
    </row>
    <row r="8" spans="1:17" x14ac:dyDescent="0.25">
      <c r="A8" s="2">
        <v>7</v>
      </c>
      <c r="B8" s="2">
        <v>58007</v>
      </c>
      <c r="C8" s="2" t="s">
        <v>18</v>
      </c>
      <c r="D8" s="2">
        <v>57</v>
      </c>
      <c r="E8" s="2">
        <v>78</v>
      </c>
      <c r="F8" s="2">
        <v>89</v>
      </c>
      <c r="G8" s="2">
        <v>90</v>
      </c>
      <c r="H8" s="2">
        <v>56</v>
      </c>
      <c r="I8" s="2">
        <v>73</v>
      </c>
      <c r="J8" s="2">
        <f t="shared" si="0"/>
        <v>443</v>
      </c>
      <c r="K8" s="2">
        <f t="shared" si="1"/>
        <v>73.833333333333329</v>
      </c>
      <c r="L8" s="2" t="str">
        <f t="shared" si="2"/>
        <v>PASS</v>
      </c>
      <c r="M8" s="2">
        <f t="shared" si="3"/>
        <v>4</v>
      </c>
      <c r="N8" s="2" t="str">
        <f t="shared" si="4"/>
        <v>B</v>
      </c>
    </row>
    <row r="9" spans="1:17" ht="21" x14ac:dyDescent="0.35">
      <c r="A9" s="2">
        <v>8</v>
      </c>
      <c r="B9" s="2">
        <v>58008</v>
      </c>
      <c r="C9" s="2" t="s">
        <v>19</v>
      </c>
      <c r="D9" s="2">
        <v>45</v>
      </c>
      <c r="E9" s="2">
        <v>52</v>
      </c>
      <c r="F9" s="2">
        <v>85</v>
      </c>
      <c r="G9" s="2">
        <v>74</v>
      </c>
      <c r="H9" s="2">
        <v>84</v>
      </c>
      <c r="I9" s="2">
        <v>72</v>
      </c>
      <c r="J9" s="2">
        <f t="shared" si="0"/>
        <v>412</v>
      </c>
      <c r="K9" s="2">
        <f t="shared" si="1"/>
        <v>68.666666666666671</v>
      </c>
      <c r="L9" s="2" t="str">
        <f t="shared" si="2"/>
        <v>PASS</v>
      </c>
      <c r="M9" s="2">
        <f t="shared" si="3"/>
        <v>6</v>
      </c>
      <c r="N9" s="2" t="str">
        <f t="shared" si="4"/>
        <v>C</v>
      </c>
      <c r="P9" s="85" t="s">
        <v>35</v>
      </c>
      <c r="Q9" s="85"/>
    </row>
    <row r="10" spans="1:17" x14ac:dyDescent="0.25">
      <c r="A10" s="2">
        <v>9</v>
      </c>
      <c r="B10" s="2">
        <v>58009</v>
      </c>
      <c r="C10" s="2" t="s">
        <v>20</v>
      </c>
      <c r="D10" s="2">
        <v>89</v>
      </c>
      <c r="E10" s="2">
        <v>75</v>
      </c>
      <c r="F10" s="2">
        <v>96</v>
      </c>
      <c r="G10" s="2">
        <v>82</v>
      </c>
      <c r="H10" s="2">
        <v>83</v>
      </c>
      <c r="I10" s="2">
        <v>74</v>
      </c>
      <c r="J10" s="2">
        <f t="shared" si="0"/>
        <v>499</v>
      </c>
      <c r="K10" s="2">
        <f t="shared" si="1"/>
        <v>83.166666666666671</v>
      </c>
      <c r="L10" s="2" t="str">
        <f t="shared" si="2"/>
        <v>PASS</v>
      </c>
      <c r="M10" s="2">
        <f t="shared" si="3"/>
        <v>3</v>
      </c>
      <c r="N10" s="2" t="str">
        <f t="shared" si="4"/>
        <v>A</v>
      </c>
    </row>
    <row r="11" spans="1:17" x14ac:dyDescent="0.25">
      <c r="A11" s="2">
        <v>10</v>
      </c>
      <c r="B11" s="2">
        <v>58010</v>
      </c>
      <c r="C11" s="2" t="s">
        <v>21</v>
      </c>
      <c r="D11" s="2">
        <v>34</v>
      </c>
      <c r="E11" s="2">
        <v>36</v>
      </c>
      <c r="F11" s="2">
        <v>58</v>
      </c>
      <c r="G11" s="2">
        <v>50</v>
      </c>
      <c r="H11" s="2">
        <v>42</v>
      </c>
      <c r="I11" s="2">
        <v>50</v>
      </c>
      <c r="J11" s="2">
        <f t="shared" si="0"/>
        <v>270</v>
      </c>
      <c r="K11" s="2">
        <f t="shared" si="1"/>
        <v>45</v>
      </c>
      <c r="L11" s="2" t="str">
        <f t="shared" si="2"/>
        <v>FAIL</v>
      </c>
      <c r="M11" s="2" t="str">
        <f t="shared" si="3"/>
        <v>NO RANK</v>
      </c>
      <c r="N11" s="2" t="str">
        <f t="shared" si="4"/>
        <v>E</v>
      </c>
      <c r="P11" s="83" t="s">
        <v>33</v>
      </c>
      <c r="Q11" s="2">
        <v>58003</v>
      </c>
    </row>
    <row r="12" spans="1:17" x14ac:dyDescent="0.25">
      <c r="P12" s="83" t="s">
        <v>34</v>
      </c>
      <c r="Q12" s="87" t="str">
        <f>INDEX($C$2:$C$11,MATCH(Q11,$B$2:$B$11,0))</f>
        <v>Malar</v>
      </c>
    </row>
    <row r="13" spans="1:17" x14ac:dyDescent="0.25">
      <c r="P13" s="83" t="s">
        <v>8</v>
      </c>
      <c r="Q13" s="87">
        <f>INDEX($J$2:$J$11,MATCH(Q11,$B$2:$B$11,0))</f>
        <v>218</v>
      </c>
    </row>
    <row r="14" spans="1:17" x14ac:dyDescent="0.25">
      <c r="H14" s="84"/>
      <c r="P14" s="83" t="s">
        <v>22</v>
      </c>
      <c r="Q14" s="87" t="str">
        <f>INDEX($M$2:$M$11,MATCH(Q11,$B$2:$B$11,0))</f>
        <v>NO RANK</v>
      </c>
    </row>
    <row r="15" spans="1:17" ht="18.75" x14ac:dyDescent="0.3">
      <c r="C15" s="6" t="s">
        <v>23</v>
      </c>
      <c r="D15" s="6" t="s">
        <v>26</v>
      </c>
      <c r="E15" s="6" t="s">
        <v>27</v>
      </c>
      <c r="F15" s="6" t="s">
        <v>28</v>
      </c>
      <c r="J15" s="82"/>
      <c r="P15" s="83" t="s">
        <v>11</v>
      </c>
      <c r="Q15" s="87" t="str">
        <f>INDEX(N2:N11,MATCH(Q11,$B$2:$B$11,0))</f>
        <v>NO GRADE</v>
      </c>
    </row>
    <row r="16" spans="1:17" x14ac:dyDescent="0.25">
      <c r="C16" s="7" t="s">
        <v>24</v>
      </c>
      <c r="D16" s="2">
        <v>2</v>
      </c>
      <c r="E16" s="2">
        <v>8</v>
      </c>
      <c r="F16" s="2">
        <f>SUM(D16:E16)</f>
        <v>10</v>
      </c>
    </row>
    <row r="17" spans="3:6" x14ac:dyDescent="0.25">
      <c r="C17" s="7" t="s">
        <v>25</v>
      </c>
      <c r="D17" s="2">
        <v>2</v>
      </c>
      <c r="E17" s="2">
        <v>8</v>
      </c>
      <c r="F17" s="2">
        <f>SUM(D17:E17)</f>
        <v>10</v>
      </c>
    </row>
    <row r="19" spans="3:6" x14ac:dyDescent="0.25">
      <c r="C19" s="4" t="s">
        <v>29</v>
      </c>
      <c r="D19" s="3">
        <f>COUNTIF($D$2:$L$11,"PASS")</f>
        <v>8</v>
      </c>
    </row>
    <row r="20" spans="3:6" x14ac:dyDescent="0.25">
      <c r="C20" s="4" t="s">
        <v>30</v>
      </c>
      <c r="D20" s="3">
        <f>COUNTIF($L$2:$L$11,"FAIL")</f>
        <v>2</v>
      </c>
    </row>
    <row r="21" spans="3:6" x14ac:dyDescent="0.25">
      <c r="C21" s="4" t="s">
        <v>31</v>
      </c>
      <c r="D21" s="3">
        <f>COUNTIF($D$2:$I$11,100)</f>
        <v>2</v>
      </c>
    </row>
  </sheetData>
  <dataConsolidate/>
  <mergeCells count="1">
    <mergeCell ref="P9:Q9"/>
  </mergeCells>
  <conditionalFormatting sqref="D2:I11">
    <cfRule type="cellIs" dxfId="5" priority="6" operator="equal">
      <formula>100</formula>
    </cfRule>
    <cfRule type="cellIs" dxfId="4" priority="7" operator="equal">
      <formula>100</formula>
    </cfRule>
    <cfRule type="cellIs" dxfId="3" priority="8" operator="lessThan">
      <formula>35</formula>
    </cfRule>
  </conditionalFormatting>
  <conditionalFormatting sqref="L1:L1048576">
    <cfRule type="cellIs" dxfId="2" priority="5" operator="equal">
      <formula>"FAIL"</formula>
    </cfRule>
  </conditionalFormatting>
  <conditionalFormatting sqref="M1:M1048576">
    <cfRule type="cellIs" dxfId="1" priority="4" operator="equal">
      <formula>"NO RANK"</formula>
    </cfRule>
  </conditionalFormatting>
  <conditionalFormatting sqref="N1:N1048576">
    <cfRule type="cellIs" dxfId="0" priority="1" operator="equal">
      <formula>"NO GRADE"</formula>
    </cfRule>
  </conditionalFormatting>
  <dataValidations count="1">
    <dataValidation type="list" allowBlank="1" showInputMessage="1" showErrorMessage="1" sqref="Q11" xr:uid="{855E5B09-5B36-460C-834C-2A3C4279A598}">
      <formula1>$B$2:$B$11</formula1>
    </dataValidation>
  </dataValidations>
  <hyperlinks>
    <hyperlink ref="E1" location="'Pie Chart - Each Subject'!A35" display="English" xr:uid="{FF23B27A-A61D-415F-A1F6-2FC83ECF323E}"/>
    <hyperlink ref="F1" location="'Pie Chart - Each Subject'!A59" display="Maths" xr:uid="{0E90941C-EFF4-46F2-8025-6C0D02B54F4D}"/>
    <hyperlink ref="G1" location="'Pie Chart - Each Subject'!A81" display="Physics" xr:uid="{C2266489-BA5E-41AA-BE3F-BAE47135F4E9}"/>
    <hyperlink ref="D1" location="'Pie Chart - Each Subject'!A11" display="Tamil" xr:uid="{4B1A2BC4-6CD2-4688-81D3-8B072C442C4D}"/>
    <hyperlink ref="H1" location="'Pie Chart - Each Subject'!A103" display="Chemistry" xr:uid="{073A405A-81C2-4EDB-9D84-B811FFC118B2}"/>
    <hyperlink ref="I1" location="'Pie Chart - Each Subject'!A125" display="Biology" xr:uid="{25F965B7-236B-4FBA-9A85-10265AB0A4DB}"/>
    <hyperlink ref="J1" location="'Bar Chart '!F14" display="Total" xr:uid="{812C9E56-B4AA-43B2-BD67-33F221AB4C6D}"/>
    <hyperlink ref="L1" location="Result!D12" display="Result" xr:uid="{3EA6AE7D-842E-4620-9107-E6FA363EB5E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EC8B-E058-4BF3-9D60-72F854380BE5}">
  <dimension ref="H2:Q133"/>
  <sheetViews>
    <sheetView workbookViewId="0">
      <selection activeCell="H7" sqref="H7"/>
    </sheetView>
  </sheetViews>
  <sheetFormatPr defaultRowHeight="15" x14ac:dyDescent="0.25"/>
  <cols>
    <col min="6" max="7" width="9.140625" customWidth="1"/>
    <col min="16" max="16" width="8.85546875" customWidth="1"/>
    <col min="18" max="18" width="9.140625" customWidth="1"/>
  </cols>
  <sheetData>
    <row r="2" spans="8:17" ht="15.75" thickBot="1" x14ac:dyDescent="0.3"/>
    <row r="3" spans="8:17" x14ac:dyDescent="0.25">
      <c r="H3" s="8"/>
      <c r="I3" s="9"/>
      <c r="J3" s="9"/>
      <c r="K3" s="9"/>
      <c r="L3" s="9"/>
      <c r="M3" s="9"/>
      <c r="N3" s="9"/>
      <c r="O3" s="9"/>
      <c r="P3" s="9"/>
      <c r="Q3" s="10"/>
    </row>
    <row r="4" spans="8:17" x14ac:dyDescent="0.25">
      <c r="H4" s="11"/>
      <c r="I4" s="12"/>
      <c r="J4" s="12"/>
      <c r="K4" s="12"/>
      <c r="L4" s="12"/>
      <c r="M4" s="12"/>
      <c r="N4" s="12"/>
      <c r="O4" s="12"/>
      <c r="P4" s="12"/>
      <c r="Q4" s="13"/>
    </row>
    <row r="5" spans="8:17" x14ac:dyDescent="0.25">
      <c r="H5" s="11"/>
      <c r="I5" s="12"/>
      <c r="J5" s="12"/>
      <c r="K5" s="12"/>
      <c r="L5" s="12"/>
      <c r="M5" s="12"/>
      <c r="N5" s="12"/>
      <c r="O5" s="12"/>
      <c r="P5" s="12"/>
      <c r="Q5" s="13"/>
    </row>
    <row r="6" spans="8:17" x14ac:dyDescent="0.25">
      <c r="H6" s="11"/>
      <c r="I6" s="12"/>
      <c r="J6" s="12"/>
      <c r="K6" s="12"/>
      <c r="L6" s="12"/>
      <c r="M6" s="12"/>
      <c r="N6" s="12"/>
      <c r="O6" s="12"/>
      <c r="P6" s="12"/>
      <c r="Q6" s="13"/>
    </row>
    <row r="7" spans="8:17" x14ac:dyDescent="0.25">
      <c r="H7" s="11"/>
      <c r="I7" s="12"/>
      <c r="J7" s="12"/>
      <c r="K7" s="12"/>
      <c r="L7" s="12"/>
      <c r="M7" s="12"/>
      <c r="N7" s="12"/>
      <c r="O7" s="12"/>
      <c r="P7" s="12"/>
      <c r="Q7" s="13"/>
    </row>
    <row r="8" spans="8:17" x14ac:dyDescent="0.25">
      <c r="H8" s="11"/>
      <c r="I8" s="12"/>
      <c r="J8" s="12"/>
      <c r="K8" s="12"/>
      <c r="L8" s="12"/>
      <c r="M8" s="12"/>
      <c r="N8" s="12"/>
      <c r="O8" s="12"/>
      <c r="P8" s="12"/>
      <c r="Q8" s="13"/>
    </row>
    <row r="9" spans="8:17" x14ac:dyDescent="0.25">
      <c r="H9" s="11"/>
      <c r="I9" s="12"/>
      <c r="J9" s="12"/>
      <c r="K9" s="12"/>
      <c r="L9" s="12"/>
      <c r="M9" s="12"/>
      <c r="N9" s="12"/>
      <c r="O9" s="12"/>
      <c r="P9" s="12"/>
      <c r="Q9" s="13"/>
    </row>
    <row r="10" spans="8:17" x14ac:dyDescent="0.25">
      <c r="H10" s="11"/>
      <c r="I10" s="12"/>
      <c r="J10" s="12"/>
      <c r="K10" s="12"/>
      <c r="L10" s="12"/>
      <c r="M10" s="12"/>
      <c r="N10" s="12"/>
      <c r="O10" s="12"/>
      <c r="P10" s="12"/>
      <c r="Q10" s="13"/>
    </row>
    <row r="11" spans="8:17" x14ac:dyDescent="0.25">
      <c r="H11" s="11"/>
      <c r="I11" s="12"/>
      <c r="J11" s="12"/>
      <c r="K11" s="12"/>
      <c r="L11" s="12"/>
      <c r="M11" s="12"/>
      <c r="N11" s="12"/>
      <c r="O11" s="12"/>
      <c r="P11" s="12"/>
      <c r="Q11" s="13"/>
    </row>
    <row r="12" spans="8:17" x14ac:dyDescent="0.25">
      <c r="H12" s="11"/>
      <c r="I12" s="12"/>
      <c r="J12" s="12"/>
      <c r="K12" s="12"/>
      <c r="L12" s="12"/>
      <c r="M12" s="12"/>
      <c r="N12" s="12"/>
      <c r="O12" s="12"/>
      <c r="P12" s="12"/>
      <c r="Q12" s="13"/>
    </row>
    <row r="13" spans="8:17" x14ac:dyDescent="0.25">
      <c r="H13" s="11"/>
      <c r="I13" s="12"/>
      <c r="J13" s="12"/>
      <c r="K13" s="12"/>
      <c r="L13" s="12"/>
      <c r="M13" s="12"/>
      <c r="N13" s="12"/>
      <c r="O13" s="12"/>
      <c r="P13" s="12"/>
      <c r="Q13" s="13"/>
    </row>
    <row r="14" spans="8:17" x14ac:dyDescent="0.25">
      <c r="H14" s="11"/>
      <c r="I14" s="12"/>
      <c r="J14" s="12"/>
      <c r="K14" s="12"/>
      <c r="L14" s="12"/>
      <c r="M14" s="12"/>
      <c r="N14" s="12"/>
      <c r="O14" s="12"/>
      <c r="P14" s="12"/>
      <c r="Q14" s="13"/>
    </row>
    <row r="15" spans="8:17" x14ac:dyDescent="0.25">
      <c r="H15" s="11"/>
      <c r="I15" s="12"/>
      <c r="J15" s="12"/>
      <c r="K15" s="12"/>
      <c r="L15" s="12"/>
      <c r="M15" s="12"/>
      <c r="N15" s="12"/>
      <c r="O15" s="12"/>
      <c r="P15" s="12"/>
      <c r="Q15" s="13"/>
    </row>
    <row r="16" spans="8:17" x14ac:dyDescent="0.25">
      <c r="H16" s="11"/>
      <c r="I16" s="12"/>
      <c r="J16" s="12"/>
      <c r="K16" s="12"/>
      <c r="L16" s="12"/>
      <c r="M16" s="12"/>
      <c r="N16" s="12"/>
      <c r="O16" s="12"/>
      <c r="P16" s="12"/>
      <c r="Q16" s="13"/>
    </row>
    <row r="17" spans="8:17" ht="14.25" customHeight="1" x14ac:dyDescent="0.25">
      <c r="H17" s="11"/>
      <c r="I17" s="12"/>
      <c r="J17" s="12"/>
      <c r="K17" s="12"/>
      <c r="L17" s="12"/>
      <c r="M17" s="12"/>
      <c r="N17" s="12"/>
      <c r="O17" s="12"/>
      <c r="P17" s="12"/>
      <c r="Q17" s="13"/>
    </row>
    <row r="18" spans="8:17" x14ac:dyDescent="0.25">
      <c r="H18" s="11"/>
      <c r="I18" s="12"/>
      <c r="J18" s="12"/>
      <c r="K18" s="12"/>
      <c r="L18" s="12"/>
      <c r="M18" s="12"/>
      <c r="N18" s="12"/>
      <c r="O18" s="12"/>
      <c r="P18" s="12"/>
      <c r="Q18" s="13"/>
    </row>
    <row r="19" spans="8:17" x14ac:dyDescent="0.25">
      <c r="H19" s="11"/>
      <c r="I19" s="12"/>
      <c r="J19" s="12"/>
      <c r="K19" s="12"/>
      <c r="L19" s="12"/>
      <c r="M19" s="12"/>
      <c r="N19" s="12"/>
      <c r="O19" s="12"/>
      <c r="P19" s="12"/>
      <c r="Q19" s="13"/>
    </row>
    <row r="20" spans="8:17" ht="15.75" thickBot="1" x14ac:dyDescent="0.3">
      <c r="H20" s="14"/>
      <c r="I20" s="15"/>
      <c r="J20" s="15"/>
      <c r="K20" s="15"/>
      <c r="L20" s="15"/>
      <c r="M20" s="15"/>
      <c r="N20" s="15"/>
      <c r="O20" s="15"/>
      <c r="P20" s="15"/>
      <c r="Q20" s="16"/>
    </row>
    <row r="25" spans="8:17" ht="15.75" thickBot="1" x14ac:dyDescent="0.3"/>
    <row r="26" spans="8:17" x14ac:dyDescent="0.25">
      <c r="H26" s="17"/>
      <c r="I26" s="18"/>
      <c r="J26" s="18"/>
      <c r="K26" s="18"/>
      <c r="L26" s="18"/>
      <c r="M26" s="18"/>
      <c r="N26" s="18"/>
      <c r="O26" s="18"/>
      <c r="P26" s="18"/>
      <c r="Q26" s="19"/>
    </row>
    <row r="27" spans="8:17" x14ac:dyDescent="0.25">
      <c r="H27" s="20"/>
      <c r="I27" s="21"/>
      <c r="J27" s="21"/>
      <c r="K27" s="21"/>
      <c r="L27" s="21"/>
      <c r="M27" s="21"/>
      <c r="N27" s="21"/>
      <c r="O27" s="21"/>
      <c r="P27" s="21"/>
      <c r="Q27" s="22"/>
    </row>
    <row r="28" spans="8:17" x14ac:dyDescent="0.25">
      <c r="H28" s="20"/>
      <c r="I28" s="21"/>
      <c r="J28" s="21"/>
      <c r="K28" s="21"/>
      <c r="L28" s="21"/>
      <c r="M28" s="21"/>
      <c r="N28" s="21"/>
      <c r="O28" s="21"/>
      <c r="P28" s="21"/>
      <c r="Q28" s="22"/>
    </row>
    <row r="29" spans="8:17" x14ac:dyDescent="0.25">
      <c r="H29" s="20"/>
      <c r="I29" s="21"/>
      <c r="J29" s="21"/>
      <c r="K29" s="21"/>
      <c r="L29" s="21"/>
      <c r="M29" s="21"/>
      <c r="N29" s="21"/>
      <c r="O29" s="21"/>
      <c r="P29" s="21"/>
      <c r="Q29" s="22"/>
    </row>
    <row r="30" spans="8:17" x14ac:dyDescent="0.25">
      <c r="H30" s="20"/>
      <c r="I30" s="21"/>
      <c r="J30" s="21"/>
      <c r="K30" s="21"/>
      <c r="L30" s="21"/>
      <c r="M30" s="21"/>
      <c r="N30" s="21"/>
      <c r="O30" s="21"/>
      <c r="P30" s="21"/>
      <c r="Q30" s="22"/>
    </row>
    <row r="31" spans="8:17" x14ac:dyDescent="0.25">
      <c r="H31" s="20"/>
      <c r="I31" s="21"/>
      <c r="J31" s="21"/>
      <c r="K31" s="21"/>
      <c r="L31" s="21"/>
      <c r="M31" s="21"/>
      <c r="N31" s="21"/>
      <c r="O31" s="21"/>
      <c r="P31" s="21"/>
      <c r="Q31" s="22"/>
    </row>
    <row r="32" spans="8:17" x14ac:dyDescent="0.25">
      <c r="H32" s="20"/>
      <c r="I32" s="21"/>
      <c r="J32" s="21"/>
      <c r="K32" s="21"/>
      <c r="L32" s="21"/>
      <c r="M32" s="21"/>
      <c r="N32" s="21"/>
      <c r="O32" s="21"/>
      <c r="P32" s="21"/>
      <c r="Q32" s="22"/>
    </row>
    <row r="33" spans="8:17" x14ac:dyDescent="0.25">
      <c r="H33" s="20"/>
      <c r="I33" s="21"/>
      <c r="J33" s="21"/>
      <c r="K33" s="21"/>
      <c r="L33" s="21"/>
      <c r="M33" s="21"/>
      <c r="N33" s="21"/>
      <c r="O33" s="21"/>
      <c r="P33" s="21"/>
      <c r="Q33" s="22"/>
    </row>
    <row r="34" spans="8:17" x14ac:dyDescent="0.25">
      <c r="H34" s="20"/>
      <c r="I34" s="21"/>
      <c r="J34" s="21"/>
      <c r="K34" s="21"/>
      <c r="L34" s="21"/>
      <c r="M34" s="21"/>
      <c r="N34" s="21"/>
      <c r="O34" s="21"/>
      <c r="P34" s="21"/>
      <c r="Q34" s="22"/>
    </row>
    <row r="35" spans="8:17" x14ac:dyDescent="0.25">
      <c r="H35" s="20"/>
      <c r="I35" s="21"/>
      <c r="J35" s="21"/>
      <c r="K35" s="21"/>
      <c r="L35" s="21"/>
      <c r="M35" s="21"/>
      <c r="N35" s="21"/>
      <c r="O35" s="21"/>
      <c r="P35" s="21"/>
      <c r="Q35" s="22"/>
    </row>
    <row r="36" spans="8:17" x14ac:dyDescent="0.25">
      <c r="H36" s="20"/>
      <c r="I36" s="21"/>
      <c r="J36" s="21"/>
      <c r="K36" s="21"/>
      <c r="L36" s="21"/>
      <c r="M36" s="21"/>
      <c r="N36" s="21"/>
      <c r="O36" s="21"/>
      <c r="P36" s="21"/>
      <c r="Q36" s="22"/>
    </row>
    <row r="37" spans="8:17" x14ac:dyDescent="0.25">
      <c r="H37" s="20"/>
      <c r="I37" s="21"/>
      <c r="J37" s="21"/>
      <c r="K37" s="21"/>
      <c r="L37" s="21"/>
      <c r="M37" s="21"/>
      <c r="N37" s="21"/>
      <c r="O37" s="21"/>
      <c r="P37" s="21"/>
      <c r="Q37" s="22"/>
    </row>
    <row r="38" spans="8:17" x14ac:dyDescent="0.25">
      <c r="H38" s="20"/>
      <c r="I38" s="21"/>
      <c r="J38" s="21"/>
      <c r="K38" s="21"/>
      <c r="L38" s="21"/>
      <c r="M38" s="21"/>
      <c r="N38" s="21"/>
      <c r="O38" s="21"/>
      <c r="P38" s="21"/>
      <c r="Q38" s="22"/>
    </row>
    <row r="39" spans="8:17" x14ac:dyDescent="0.25">
      <c r="H39" s="20"/>
      <c r="I39" s="21"/>
      <c r="J39" s="21"/>
      <c r="K39" s="21"/>
      <c r="L39" s="21"/>
      <c r="M39" s="21"/>
      <c r="N39" s="21"/>
      <c r="O39" s="21"/>
      <c r="P39" s="21"/>
      <c r="Q39" s="22"/>
    </row>
    <row r="40" spans="8:17" x14ac:dyDescent="0.25">
      <c r="H40" s="20"/>
      <c r="I40" s="21"/>
      <c r="J40" s="21"/>
      <c r="K40" s="21"/>
      <c r="L40" s="21"/>
      <c r="M40" s="21"/>
      <c r="N40" s="21"/>
      <c r="O40" s="21"/>
      <c r="P40" s="21"/>
      <c r="Q40" s="22"/>
    </row>
    <row r="41" spans="8:17" x14ac:dyDescent="0.25">
      <c r="H41" s="20"/>
      <c r="I41" s="21"/>
      <c r="J41" s="21"/>
      <c r="K41" s="21"/>
      <c r="L41" s="21"/>
      <c r="M41" s="21"/>
      <c r="N41" s="21"/>
      <c r="O41" s="21"/>
      <c r="P41" s="21"/>
      <c r="Q41" s="22"/>
    </row>
    <row r="42" spans="8:17" x14ac:dyDescent="0.25">
      <c r="H42" s="20"/>
      <c r="I42" s="21"/>
      <c r="J42" s="21"/>
      <c r="K42" s="21"/>
      <c r="L42" s="21"/>
      <c r="M42" s="21"/>
      <c r="N42" s="21"/>
      <c r="O42" s="21"/>
      <c r="P42" s="21"/>
      <c r="Q42" s="22"/>
    </row>
    <row r="43" spans="8:17" x14ac:dyDescent="0.25">
      <c r="H43" s="20"/>
      <c r="I43" s="21"/>
      <c r="J43" s="21"/>
      <c r="K43" s="21"/>
      <c r="L43" s="21"/>
      <c r="M43" s="21"/>
      <c r="N43" s="21"/>
      <c r="O43" s="21"/>
      <c r="P43" s="21"/>
      <c r="Q43" s="22"/>
    </row>
    <row r="44" spans="8:17" ht="15.75" thickBot="1" x14ac:dyDescent="0.3">
      <c r="H44" s="23"/>
      <c r="I44" s="24"/>
      <c r="J44" s="24"/>
      <c r="K44" s="24"/>
      <c r="L44" s="24"/>
      <c r="M44" s="24"/>
      <c r="N44" s="24"/>
      <c r="O44" s="24"/>
      <c r="P44" s="24"/>
      <c r="Q44" s="25"/>
    </row>
    <row r="49" spans="8:17" ht="15.75" thickBot="1" x14ac:dyDescent="0.3"/>
    <row r="50" spans="8:17" x14ac:dyDescent="0.25">
      <c r="H50" s="26"/>
      <c r="I50" s="27"/>
      <c r="J50" s="27"/>
      <c r="K50" s="27"/>
      <c r="L50" s="27"/>
      <c r="M50" s="27"/>
      <c r="N50" s="27"/>
      <c r="O50" s="27"/>
      <c r="P50" s="27"/>
      <c r="Q50" s="28"/>
    </row>
    <row r="51" spans="8:17" x14ac:dyDescent="0.25">
      <c r="H51" s="29"/>
      <c r="I51" s="30"/>
      <c r="J51" s="30"/>
      <c r="K51" s="30"/>
      <c r="L51" s="30"/>
      <c r="M51" s="30"/>
      <c r="N51" s="30"/>
      <c r="O51" s="30"/>
      <c r="P51" s="30"/>
      <c r="Q51" s="31"/>
    </row>
    <row r="52" spans="8:17" x14ac:dyDescent="0.25">
      <c r="H52" s="29"/>
      <c r="I52" s="30"/>
      <c r="J52" s="30"/>
      <c r="K52" s="30"/>
      <c r="L52" s="30"/>
      <c r="M52" s="30"/>
      <c r="N52" s="30"/>
      <c r="O52" s="30"/>
      <c r="P52" s="30"/>
      <c r="Q52" s="31"/>
    </row>
    <row r="53" spans="8:17" x14ac:dyDescent="0.25">
      <c r="H53" s="29"/>
      <c r="I53" s="30"/>
      <c r="J53" s="30"/>
      <c r="K53" s="30"/>
      <c r="L53" s="30"/>
      <c r="M53" s="30"/>
      <c r="N53" s="30"/>
      <c r="O53" s="30"/>
      <c r="P53" s="30"/>
      <c r="Q53" s="31"/>
    </row>
    <row r="54" spans="8:17" x14ac:dyDescent="0.25">
      <c r="H54" s="29"/>
      <c r="I54" s="30"/>
      <c r="J54" s="30"/>
      <c r="K54" s="30"/>
      <c r="L54" s="30"/>
      <c r="M54" s="30"/>
      <c r="N54" s="30"/>
      <c r="O54" s="30"/>
      <c r="P54" s="30"/>
      <c r="Q54" s="31"/>
    </row>
    <row r="55" spans="8:17" x14ac:dyDescent="0.25">
      <c r="H55" s="29"/>
      <c r="I55" s="30"/>
      <c r="J55" s="30"/>
      <c r="K55" s="30"/>
      <c r="L55" s="30"/>
      <c r="M55" s="30"/>
      <c r="N55" s="30"/>
      <c r="O55" s="30"/>
      <c r="P55" s="30"/>
      <c r="Q55" s="31"/>
    </row>
    <row r="56" spans="8:17" x14ac:dyDescent="0.25">
      <c r="H56" s="29"/>
      <c r="I56" s="30"/>
      <c r="J56" s="30"/>
      <c r="K56" s="30"/>
      <c r="L56" s="30"/>
      <c r="M56" s="30"/>
      <c r="N56" s="30"/>
      <c r="O56" s="30"/>
      <c r="P56" s="30"/>
      <c r="Q56" s="31"/>
    </row>
    <row r="57" spans="8:17" x14ac:dyDescent="0.25">
      <c r="H57" s="29"/>
      <c r="I57" s="30"/>
      <c r="J57" s="30"/>
      <c r="K57" s="30"/>
      <c r="L57" s="30"/>
      <c r="M57" s="30"/>
      <c r="N57" s="30"/>
      <c r="O57" s="30"/>
      <c r="P57" s="30"/>
      <c r="Q57" s="31"/>
    </row>
    <row r="58" spans="8:17" x14ac:dyDescent="0.25">
      <c r="H58" s="29"/>
      <c r="I58" s="30"/>
      <c r="J58" s="30"/>
      <c r="K58" s="30"/>
      <c r="L58" s="30"/>
      <c r="M58" s="30"/>
      <c r="N58" s="30"/>
      <c r="O58" s="30"/>
      <c r="P58" s="30"/>
      <c r="Q58" s="31"/>
    </row>
    <row r="59" spans="8:17" x14ac:dyDescent="0.25">
      <c r="H59" s="29"/>
      <c r="I59" s="30"/>
      <c r="J59" s="30"/>
      <c r="K59" s="30"/>
      <c r="L59" s="30"/>
      <c r="M59" s="30"/>
      <c r="N59" s="30"/>
      <c r="O59" s="30"/>
      <c r="P59" s="30"/>
      <c r="Q59" s="31"/>
    </row>
    <row r="60" spans="8:17" x14ac:dyDescent="0.25">
      <c r="H60" s="29"/>
      <c r="I60" s="30"/>
      <c r="J60" s="30"/>
      <c r="K60" s="30"/>
      <c r="L60" s="30"/>
      <c r="M60" s="30"/>
      <c r="N60" s="30"/>
      <c r="O60" s="30"/>
      <c r="P60" s="30"/>
      <c r="Q60" s="31"/>
    </row>
    <row r="61" spans="8:17" x14ac:dyDescent="0.25">
      <c r="H61" s="29"/>
      <c r="I61" s="30"/>
      <c r="J61" s="30"/>
      <c r="K61" s="30"/>
      <c r="L61" s="30"/>
      <c r="M61" s="30"/>
      <c r="N61" s="30"/>
      <c r="O61" s="30"/>
      <c r="P61" s="30"/>
      <c r="Q61" s="31"/>
    </row>
    <row r="62" spans="8:17" x14ac:dyDescent="0.25">
      <c r="H62" s="29"/>
      <c r="I62" s="30"/>
      <c r="J62" s="30"/>
      <c r="K62" s="30"/>
      <c r="L62" s="30"/>
      <c r="M62" s="30"/>
      <c r="N62" s="30"/>
      <c r="O62" s="30"/>
      <c r="P62" s="30"/>
      <c r="Q62" s="31"/>
    </row>
    <row r="63" spans="8:17" x14ac:dyDescent="0.25">
      <c r="H63" s="29"/>
      <c r="I63" s="30"/>
      <c r="J63" s="30"/>
      <c r="K63" s="30"/>
      <c r="L63" s="30"/>
      <c r="M63" s="30"/>
      <c r="N63" s="30"/>
      <c r="O63" s="30"/>
      <c r="P63" s="30"/>
      <c r="Q63" s="31"/>
    </row>
    <row r="64" spans="8:17" x14ac:dyDescent="0.25">
      <c r="H64" s="29"/>
      <c r="I64" s="30"/>
      <c r="J64" s="30"/>
      <c r="K64" s="30"/>
      <c r="L64" s="30"/>
      <c r="M64" s="30"/>
      <c r="N64" s="30"/>
      <c r="O64" s="30"/>
      <c r="P64" s="30"/>
      <c r="Q64" s="31"/>
    </row>
    <row r="65" spans="8:17" x14ac:dyDescent="0.25">
      <c r="H65" s="29"/>
      <c r="I65" s="30"/>
      <c r="J65" s="30"/>
      <c r="K65" s="30"/>
      <c r="L65" s="30"/>
      <c r="M65" s="30"/>
      <c r="N65" s="30"/>
      <c r="O65" s="30"/>
      <c r="P65" s="30"/>
      <c r="Q65" s="31"/>
    </row>
    <row r="66" spans="8:17" x14ac:dyDescent="0.25">
      <c r="H66" s="29"/>
      <c r="I66" s="30"/>
      <c r="J66" s="30"/>
      <c r="K66" s="30"/>
      <c r="L66" s="30"/>
      <c r="M66" s="30"/>
      <c r="N66" s="30"/>
      <c r="O66" s="30"/>
      <c r="P66" s="30"/>
      <c r="Q66" s="31"/>
    </row>
    <row r="67" spans="8:17" ht="15.75" thickBot="1" x14ac:dyDescent="0.3">
      <c r="H67" s="32"/>
      <c r="I67" s="33"/>
      <c r="J67" s="33"/>
      <c r="K67" s="33"/>
      <c r="L67" s="33"/>
      <c r="M67" s="33"/>
      <c r="N67" s="33"/>
      <c r="O67" s="33"/>
      <c r="P67" s="33"/>
      <c r="Q67" s="34"/>
    </row>
    <row r="71" spans="8:17" ht="15.75" thickBot="1" x14ac:dyDescent="0.3"/>
    <row r="72" spans="8:17" x14ac:dyDescent="0.25">
      <c r="H72" s="35"/>
      <c r="I72" s="36"/>
      <c r="J72" s="36"/>
      <c r="K72" s="36"/>
      <c r="L72" s="36"/>
      <c r="M72" s="36"/>
      <c r="N72" s="36"/>
      <c r="O72" s="36"/>
      <c r="P72" s="36"/>
      <c r="Q72" s="37"/>
    </row>
    <row r="73" spans="8:17" x14ac:dyDescent="0.25">
      <c r="H73" s="38"/>
      <c r="I73" s="39"/>
      <c r="J73" s="39"/>
      <c r="K73" s="39"/>
      <c r="L73" s="39"/>
      <c r="M73" s="39"/>
      <c r="N73" s="39"/>
      <c r="O73" s="39"/>
      <c r="P73" s="39"/>
      <c r="Q73" s="40"/>
    </row>
    <row r="74" spans="8:17" x14ac:dyDescent="0.25">
      <c r="H74" s="38"/>
      <c r="I74" s="39"/>
      <c r="J74" s="39"/>
      <c r="K74" s="39"/>
      <c r="L74" s="39"/>
      <c r="M74" s="39"/>
      <c r="N74" s="39"/>
      <c r="O74" s="39"/>
      <c r="P74" s="39"/>
      <c r="Q74" s="40"/>
    </row>
    <row r="75" spans="8:17" x14ac:dyDescent="0.25">
      <c r="H75" s="38"/>
      <c r="I75" s="39"/>
      <c r="J75" s="39"/>
      <c r="K75" s="39"/>
      <c r="L75" s="39"/>
      <c r="M75" s="39"/>
      <c r="N75" s="39"/>
      <c r="O75" s="39"/>
      <c r="P75" s="39"/>
      <c r="Q75" s="40"/>
    </row>
    <row r="76" spans="8:17" x14ac:dyDescent="0.25">
      <c r="H76" s="38"/>
      <c r="I76" s="39"/>
      <c r="J76" s="39"/>
      <c r="K76" s="39"/>
      <c r="L76" s="39"/>
      <c r="M76" s="39"/>
      <c r="N76" s="39"/>
      <c r="O76" s="39"/>
      <c r="P76" s="39"/>
      <c r="Q76" s="40"/>
    </row>
    <row r="77" spans="8:17" x14ac:dyDescent="0.25">
      <c r="H77" s="38"/>
      <c r="I77" s="39"/>
      <c r="J77" s="39"/>
      <c r="K77" s="39"/>
      <c r="L77" s="39"/>
      <c r="M77" s="39"/>
      <c r="N77" s="39"/>
      <c r="O77" s="39"/>
      <c r="P77" s="39"/>
      <c r="Q77" s="40"/>
    </row>
    <row r="78" spans="8:17" x14ac:dyDescent="0.25">
      <c r="H78" s="38"/>
      <c r="I78" s="39"/>
      <c r="J78" s="39"/>
      <c r="K78" s="39"/>
      <c r="L78" s="39"/>
      <c r="M78" s="39"/>
      <c r="N78" s="39"/>
      <c r="O78" s="39"/>
      <c r="P78" s="39"/>
      <c r="Q78" s="40"/>
    </row>
    <row r="79" spans="8:17" x14ac:dyDescent="0.25">
      <c r="H79" s="38"/>
      <c r="I79" s="39"/>
      <c r="J79" s="39"/>
      <c r="K79" s="39"/>
      <c r="L79" s="39"/>
      <c r="M79" s="39"/>
      <c r="N79" s="39"/>
      <c r="O79" s="39"/>
      <c r="P79" s="39"/>
      <c r="Q79" s="40"/>
    </row>
    <row r="80" spans="8:17" x14ac:dyDescent="0.25">
      <c r="H80" s="38"/>
      <c r="I80" s="39"/>
      <c r="J80" s="39"/>
      <c r="K80" s="39"/>
      <c r="L80" s="39"/>
      <c r="M80" s="39"/>
      <c r="N80" s="39"/>
      <c r="O80" s="39"/>
      <c r="P80" s="39"/>
      <c r="Q80" s="40"/>
    </row>
    <row r="81" spans="8:17" x14ac:dyDescent="0.25">
      <c r="H81" s="38"/>
      <c r="I81" s="39"/>
      <c r="J81" s="39"/>
      <c r="K81" s="39"/>
      <c r="L81" s="39"/>
      <c r="M81" s="39"/>
      <c r="N81" s="39"/>
      <c r="O81" s="39"/>
      <c r="P81" s="39"/>
      <c r="Q81" s="40"/>
    </row>
    <row r="82" spans="8:17" x14ac:dyDescent="0.25">
      <c r="H82" s="38"/>
      <c r="I82" s="39"/>
      <c r="J82" s="39"/>
      <c r="K82" s="39"/>
      <c r="L82" s="39"/>
      <c r="M82" s="39"/>
      <c r="N82" s="39"/>
      <c r="O82" s="39"/>
      <c r="P82" s="39"/>
      <c r="Q82" s="40"/>
    </row>
    <row r="83" spans="8:17" x14ac:dyDescent="0.25">
      <c r="H83" s="38"/>
      <c r="I83" s="39"/>
      <c r="J83" s="39"/>
      <c r="K83" s="39"/>
      <c r="L83" s="39"/>
      <c r="M83" s="39"/>
      <c r="N83" s="39"/>
      <c r="O83" s="39"/>
      <c r="P83" s="39"/>
      <c r="Q83" s="40"/>
    </row>
    <row r="84" spans="8:17" x14ac:dyDescent="0.25">
      <c r="H84" s="38"/>
      <c r="I84" s="39"/>
      <c r="J84" s="39"/>
      <c r="K84" s="39"/>
      <c r="L84" s="39"/>
      <c r="M84" s="39"/>
      <c r="N84" s="39"/>
      <c r="O84" s="39"/>
      <c r="P84" s="39"/>
      <c r="Q84" s="40"/>
    </row>
    <row r="85" spans="8:17" x14ac:dyDescent="0.25">
      <c r="H85" s="38"/>
      <c r="I85" s="39"/>
      <c r="J85" s="39"/>
      <c r="K85" s="39"/>
      <c r="L85" s="39"/>
      <c r="M85" s="39"/>
      <c r="N85" s="39"/>
      <c r="O85" s="39"/>
      <c r="P85" s="39"/>
      <c r="Q85" s="40"/>
    </row>
    <row r="86" spans="8:17" x14ac:dyDescent="0.25">
      <c r="H86" s="38"/>
      <c r="I86" s="39"/>
      <c r="J86" s="39"/>
      <c r="K86" s="39"/>
      <c r="L86" s="39"/>
      <c r="M86" s="39"/>
      <c r="N86" s="39"/>
      <c r="O86" s="39"/>
      <c r="P86" s="39"/>
      <c r="Q86" s="40"/>
    </row>
    <row r="87" spans="8:17" x14ac:dyDescent="0.25">
      <c r="H87" s="38"/>
      <c r="I87" s="39"/>
      <c r="J87" s="39"/>
      <c r="K87" s="39"/>
      <c r="L87" s="39"/>
      <c r="M87" s="39"/>
      <c r="N87" s="39"/>
      <c r="O87" s="39"/>
      <c r="P87" s="39"/>
      <c r="Q87" s="40"/>
    </row>
    <row r="88" spans="8:17" x14ac:dyDescent="0.25">
      <c r="H88" s="38"/>
      <c r="I88" s="39"/>
      <c r="J88" s="39"/>
      <c r="K88" s="39"/>
      <c r="L88" s="39"/>
      <c r="M88" s="39"/>
      <c r="N88" s="39"/>
      <c r="O88" s="39"/>
      <c r="P88" s="39"/>
      <c r="Q88" s="40"/>
    </row>
    <row r="89" spans="8:17" ht="15.75" thickBot="1" x14ac:dyDescent="0.3">
      <c r="H89" s="41"/>
      <c r="I89" s="42"/>
      <c r="J89" s="42"/>
      <c r="K89" s="42"/>
      <c r="L89" s="42"/>
      <c r="M89" s="42"/>
      <c r="N89" s="42"/>
      <c r="O89" s="42"/>
      <c r="P89" s="42"/>
      <c r="Q89" s="43"/>
    </row>
    <row r="93" spans="8:17" ht="15.75" thickBot="1" x14ac:dyDescent="0.3"/>
    <row r="94" spans="8:17" x14ac:dyDescent="0.25">
      <c r="H94" s="44"/>
      <c r="I94" s="45"/>
      <c r="J94" s="45"/>
      <c r="K94" s="45"/>
      <c r="L94" s="45"/>
      <c r="M94" s="45"/>
      <c r="N94" s="45"/>
      <c r="O94" s="45"/>
      <c r="P94" s="45"/>
      <c r="Q94" s="46"/>
    </row>
    <row r="95" spans="8:17" x14ac:dyDescent="0.25">
      <c r="H95" s="47"/>
      <c r="I95" s="48"/>
      <c r="J95" s="48"/>
      <c r="K95" s="48"/>
      <c r="L95" s="48"/>
      <c r="M95" s="48"/>
      <c r="N95" s="48"/>
      <c r="O95" s="48"/>
      <c r="P95" s="48"/>
      <c r="Q95" s="49"/>
    </row>
    <row r="96" spans="8:17" x14ac:dyDescent="0.25">
      <c r="H96" s="47"/>
      <c r="I96" s="48"/>
      <c r="J96" s="48"/>
      <c r="K96" s="48"/>
      <c r="L96" s="48"/>
      <c r="M96" s="48"/>
      <c r="N96" s="48"/>
      <c r="O96" s="48"/>
      <c r="P96" s="48"/>
      <c r="Q96" s="49"/>
    </row>
    <row r="97" spans="8:17" x14ac:dyDescent="0.25">
      <c r="H97" s="47"/>
      <c r="I97" s="48"/>
      <c r="J97" s="48"/>
      <c r="K97" s="48"/>
      <c r="L97" s="48"/>
      <c r="M97" s="48"/>
      <c r="N97" s="48"/>
      <c r="O97" s="48"/>
      <c r="P97" s="48"/>
      <c r="Q97" s="49"/>
    </row>
    <row r="98" spans="8:17" x14ac:dyDescent="0.25">
      <c r="H98" s="47"/>
      <c r="I98" s="48"/>
      <c r="J98" s="48"/>
      <c r="K98" s="48"/>
      <c r="L98" s="48"/>
      <c r="M98" s="48"/>
      <c r="N98" s="48"/>
      <c r="O98" s="48"/>
      <c r="P98" s="48"/>
      <c r="Q98" s="49"/>
    </row>
    <row r="99" spans="8:17" x14ac:dyDescent="0.25">
      <c r="H99" s="47"/>
      <c r="I99" s="48"/>
      <c r="J99" s="48"/>
      <c r="K99" s="48"/>
      <c r="L99" s="48"/>
      <c r="M99" s="48"/>
      <c r="N99" s="48"/>
      <c r="O99" s="48"/>
      <c r="P99" s="48"/>
      <c r="Q99" s="49"/>
    </row>
    <row r="100" spans="8:17" x14ac:dyDescent="0.25">
      <c r="H100" s="47"/>
      <c r="I100" s="48"/>
      <c r="J100" s="48"/>
      <c r="K100" s="48"/>
      <c r="L100" s="48"/>
      <c r="M100" s="48"/>
      <c r="N100" s="48"/>
      <c r="O100" s="48"/>
      <c r="P100" s="48"/>
      <c r="Q100" s="49"/>
    </row>
    <row r="101" spans="8:17" x14ac:dyDescent="0.25">
      <c r="H101" s="47"/>
      <c r="I101" s="48"/>
      <c r="J101" s="48"/>
      <c r="K101" s="48"/>
      <c r="L101" s="48"/>
      <c r="M101" s="48"/>
      <c r="N101" s="48"/>
      <c r="O101" s="48"/>
      <c r="P101" s="48"/>
      <c r="Q101" s="49"/>
    </row>
    <row r="102" spans="8:17" x14ac:dyDescent="0.25">
      <c r="H102" s="47"/>
      <c r="I102" s="48"/>
      <c r="J102" s="48"/>
      <c r="K102" s="48"/>
      <c r="L102" s="48"/>
      <c r="M102" s="48"/>
      <c r="N102" s="48"/>
      <c r="O102" s="48"/>
      <c r="P102" s="48"/>
      <c r="Q102" s="49"/>
    </row>
    <row r="103" spans="8:17" x14ac:dyDescent="0.25">
      <c r="H103" s="47"/>
      <c r="I103" s="48"/>
      <c r="J103" s="48"/>
      <c r="K103" s="48"/>
      <c r="L103" s="48"/>
      <c r="M103" s="48"/>
      <c r="N103" s="48"/>
      <c r="O103" s="48"/>
      <c r="P103" s="48"/>
      <c r="Q103" s="49"/>
    </row>
    <row r="104" spans="8:17" x14ac:dyDescent="0.25">
      <c r="H104" s="47"/>
      <c r="I104" s="48"/>
      <c r="J104" s="48"/>
      <c r="K104" s="48"/>
      <c r="L104" s="48"/>
      <c r="M104" s="48"/>
      <c r="N104" s="48"/>
      <c r="O104" s="48"/>
      <c r="P104" s="48"/>
      <c r="Q104" s="49"/>
    </row>
    <row r="105" spans="8:17" x14ac:dyDescent="0.25">
      <c r="H105" s="47"/>
      <c r="I105" s="48"/>
      <c r="J105" s="48"/>
      <c r="K105" s="48"/>
      <c r="L105" s="48"/>
      <c r="M105" s="48"/>
      <c r="N105" s="48"/>
      <c r="O105" s="48"/>
      <c r="P105" s="48"/>
      <c r="Q105" s="49"/>
    </row>
    <row r="106" spans="8:17" x14ac:dyDescent="0.25">
      <c r="H106" s="47"/>
      <c r="I106" s="48"/>
      <c r="J106" s="48"/>
      <c r="K106" s="48"/>
      <c r="L106" s="48"/>
      <c r="M106" s="48"/>
      <c r="N106" s="48"/>
      <c r="O106" s="48"/>
      <c r="P106" s="48"/>
      <c r="Q106" s="49"/>
    </row>
    <row r="107" spans="8:17" x14ac:dyDescent="0.25">
      <c r="H107" s="47"/>
      <c r="I107" s="48"/>
      <c r="J107" s="48"/>
      <c r="K107" s="48"/>
      <c r="L107" s="48"/>
      <c r="M107" s="48"/>
      <c r="N107" s="48"/>
      <c r="O107" s="48"/>
      <c r="P107" s="48"/>
      <c r="Q107" s="49"/>
    </row>
    <row r="108" spans="8:17" x14ac:dyDescent="0.25">
      <c r="H108" s="47"/>
      <c r="I108" s="48"/>
      <c r="J108" s="48"/>
      <c r="K108" s="48"/>
      <c r="L108" s="48"/>
      <c r="M108" s="48"/>
      <c r="N108" s="48"/>
      <c r="O108" s="48"/>
      <c r="P108" s="48"/>
      <c r="Q108" s="49"/>
    </row>
    <row r="109" spans="8:17" x14ac:dyDescent="0.25">
      <c r="H109" s="47"/>
      <c r="I109" s="48"/>
      <c r="J109" s="48"/>
      <c r="K109" s="48"/>
      <c r="L109" s="48"/>
      <c r="M109" s="48"/>
      <c r="N109" s="48"/>
      <c r="O109" s="48"/>
      <c r="P109" s="48"/>
      <c r="Q109" s="49"/>
    </row>
    <row r="110" spans="8:17" x14ac:dyDescent="0.25">
      <c r="H110" s="47"/>
      <c r="I110" s="48"/>
      <c r="J110" s="48"/>
      <c r="K110" s="48"/>
      <c r="L110" s="48"/>
      <c r="M110" s="48"/>
      <c r="N110" s="48"/>
      <c r="O110" s="48"/>
      <c r="P110" s="48"/>
      <c r="Q110" s="49"/>
    </row>
    <row r="111" spans="8:17" ht="15.75" thickBot="1" x14ac:dyDescent="0.3">
      <c r="H111" s="50"/>
      <c r="I111" s="51"/>
      <c r="J111" s="51"/>
      <c r="K111" s="51"/>
      <c r="L111" s="51"/>
      <c r="M111" s="51"/>
      <c r="N111" s="51"/>
      <c r="O111" s="51"/>
      <c r="P111" s="51"/>
      <c r="Q111" s="52"/>
    </row>
    <row r="115" spans="8:17" ht="15.75" thickBot="1" x14ac:dyDescent="0.3"/>
    <row r="116" spans="8:17" x14ac:dyDescent="0.25">
      <c r="H116" s="53"/>
      <c r="I116" s="54"/>
      <c r="J116" s="54"/>
      <c r="K116" s="54"/>
      <c r="L116" s="54"/>
      <c r="M116" s="54"/>
      <c r="N116" s="54"/>
      <c r="O116" s="54"/>
      <c r="P116" s="54"/>
      <c r="Q116" s="55"/>
    </row>
    <row r="117" spans="8:17" x14ac:dyDescent="0.25">
      <c r="H117" s="56"/>
      <c r="I117" s="57"/>
      <c r="J117" s="57"/>
      <c r="K117" s="57"/>
      <c r="L117" s="57"/>
      <c r="M117" s="57"/>
      <c r="N117" s="57"/>
      <c r="O117" s="57"/>
      <c r="P117" s="57"/>
      <c r="Q117" s="58"/>
    </row>
    <row r="118" spans="8:17" x14ac:dyDescent="0.25">
      <c r="H118" s="56"/>
      <c r="I118" s="57"/>
      <c r="J118" s="57"/>
      <c r="K118" s="57"/>
      <c r="L118" s="57"/>
      <c r="M118" s="57"/>
      <c r="N118" s="57"/>
      <c r="O118" s="57"/>
      <c r="P118" s="57"/>
      <c r="Q118" s="58"/>
    </row>
    <row r="119" spans="8:17" x14ac:dyDescent="0.25">
      <c r="H119" s="56"/>
      <c r="I119" s="57"/>
      <c r="J119" s="57"/>
      <c r="K119" s="57"/>
      <c r="L119" s="57"/>
      <c r="M119" s="57"/>
      <c r="N119" s="57"/>
      <c r="O119" s="57"/>
      <c r="P119" s="57"/>
      <c r="Q119" s="58"/>
    </row>
    <row r="120" spans="8:17" x14ac:dyDescent="0.25">
      <c r="H120" s="56"/>
      <c r="I120" s="57"/>
      <c r="J120" s="57"/>
      <c r="K120" s="57"/>
      <c r="L120" s="57"/>
      <c r="M120" s="57"/>
      <c r="N120" s="57"/>
      <c r="O120" s="57"/>
      <c r="P120" s="57"/>
      <c r="Q120" s="58"/>
    </row>
    <row r="121" spans="8:17" x14ac:dyDescent="0.25">
      <c r="H121" s="56"/>
      <c r="I121" s="57"/>
      <c r="J121" s="57"/>
      <c r="K121" s="57"/>
      <c r="L121" s="57"/>
      <c r="M121" s="57"/>
      <c r="N121" s="57"/>
      <c r="O121" s="57"/>
      <c r="P121" s="57"/>
      <c r="Q121" s="58"/>
    </row>
    <row r="122" spans="8:17" x14ac:dyDescent="0.25">
      <c r="H122" s="56"/>
      <c r="I122" s="57"/>
      <c r="J122" s="57"/>
      <c r="K122" s="57"/>
      <c r="L122" s="57"/>
      <c r="M122" s="57"/>
      <c r="N122" s="57"/>
      <c r="O122" s="57"/>
      <c r="P122" s="57"/>
      <c r="Q122" s="58"/>
    </row>
    <row r="123" spans="8:17" x14ac:dyDescent="0.25">
      <c r="H123" s="56"/>
      <c r="I123" s="57"/>
      <c r="J123" s="57"/>
      <c r="K123" s="57"/>
      <c r="L123" s="57"/>
      <c r="M123" s="57"/>
      <c r="N123" s="57"/>
      <c r="O123" s="57"/>
      <c r="P123" s="57"/>
      <c r="Q123" s="58"/>
    </row>
    <row r="124" spans="8:17" x14ac:dyDescent="0.25">
      <c r="H124" s="56"/>
      <c r="I124" s="57"/>
      <c r="J124" s="57"/>
      <c r="K124" s="57"/>
      <c r="L124" s="57"/>
      <c r="M124" s="57"/>
      <c r="N124" s="57"/>
      <c r="O124" s="57"/>
      <c r="P124" s="57"/>
      <c r="Q124" s="58"/>
    </row>
    <row r="125" spans="8:17" x14ac:dyDescent="0.25">
      <c r="H125" s="56"/>
      <c r="I125" s="57"/>
      <c r="J125" s="57"/>
      <c r="K125" s="57"/>
      <c r="L125" s="57"/>
      <c r="M125" s="57"/>
      <c r="N125" s="57"/>
      <c r="O125" s="57"/>
      <c r="P125" s="57"/>
      <c r="Q125" s="58"/>
    </row>
    <row r="126" spans="8:17" x14ac:dyDescent="0.25">
      <c r="H126" s="56"/>
      <c r="I126" s="57"/>
      <c r="J126" s="57"/>
      <c r="K126" s="57"/>
      <c r="L126" s="57"/>
      <c r="M126" s="57"/>
      <c r="N126" s="57"/>
      <c r="O126" s="57"/>
      <c r="P126" s="57"/>
      <c r="Q126" s="58"/>
    </row>
    <row r="127" spans="8:17" x14ac:dyDescent="0.25">
      <c r="H127" s="56"/>
      <c r="I127" s="57"/>
      <c r="J127" s="57"/>
      <c r="K127" s="57"/>
      <c r="L127" s="57"/>
      <c r="M127" s="57"/>
      <c r="N127" s="57"/>
      <c r="O127" s="57"/>
      <c r="P127" s="57"/>
      <c r="Q127" s="58"/>
    </row>
    <row r="128" spans="8:17" x14ac:dyDescent="0.25">
      <c r="H128" s="56"/>
      <c r="I128" s="57"/>
      <c r="J128" s="57"/>
      <c r="K128" s="57"/>
      <c r="L128" s="57"/>
      <c r="M128" s="57"/>
      <c r="N128" s="57"/>
      <c r="O128" s="57"/>
      <c r="P128" s="57"/>
      <c r="Q128" s="58"/>
    </row>
    <row r="129" spans="8:17" x14ac:dyDescent="0.25">
      <c r="H129" s="56"/>
      <c r="I129" s="57"/>
      <c r="J129" s="57"/>
      <c r="K129" s="57"/>
      <c r="L129" s="57"/>
      <c r="M129" s="57"/>
      <c r="N129" s="57"/>
      <c r="O129" s="57"/>
      <c r="P129" s="57"/>
      <c r="Q129" s="58"/>
    </row>
    <row r="130" spans="8:17" x14ac:dyDescent="0.25">
      <c r="H130" s="56"/>
      <c r="I130" s="57"/>
      <c r="J130" s="57"/>
      <c r="K130" s="57"/>
      <c r="L130" s="57"/>
      <c r="M130" s="57"/>
      <c r="N130" s="57"/>
      <c r="O130" s="57"/>
      <c r="P130" s="57"/>
      <c r="Q130" s="58"/>
    </row>
    <row r="131" spans="8:17" x14ac:dyDescent="0.25">
      <c r="H131" s="56"/>
      <c r="I131" s="57"/>
      <c r="J131" s="57"/>
      <c r="K131" s="57"/>
      <c r="L131" s="57"/>
      <c r="M131" s="57"/>
      <c r="N131" s="57"/>
      <c r="O131" s="57"/>
      <c r="P131" s="57"/>
      <c r="Q131" s="58"/>
    </row>
    <row r="132" spans="8:17" x14ac:dyDescent="0.25">
      <c r="H132" s="56"/>
      <c r="I132" s="57"/>
      <c r="J132" s="57"/>
      <c r="K132" s="57"/>
      <c r="L132" s="57"/>
      <c r="M132" s="57"/>
      <c r="N132" s="57"/>
      <c r="O132" s="57"/>
      <c r="P132" s="57"/>
      <c r="Q132" s="58"/>
    </row>
    <row r="133" spans="8:17" ht="15.75" thickBot="1" x14ac:dyDescent="0.3">
      <c r="H133" s="59"/>
      <c r="I133" s="60"/>
      <c r="J133" s="60"/>
      <c r="K133" s="60"/>
      <c r="L133" s="60"/>
      <c r="M133" s="60"/>
      <c r="N133" s="60"/>
      <c r="O133" s="60"/>
      <c r="P133" s="60"/>
      <c r="Q133" s="6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8261-9CA1-4DB5-8CCB-E72625A58A4F}">
  <dimension ref="H4:R25"/>
  <sheetViews>
    <sheetView workbookViewId="0">
      <selection activeCell="R6" sqref="R6"/>
    </sheetView>
  </sheetViews>
  <sheetFormatPr defaultRowHeight="15" x14ac:dyDescent="0.25"/>
  <sheetData>
    <row r="4" spans="8:18" ht="15.75" thickBot="1" x14ac:dyDescent="0.3"/>
    <row r="5" spans="8:18" x14ac:dyDescent="0.25">
      <c r="H5" s="62"/>
      <c r="I5" s="63"/>
      <c r="J5" s="63"/>
      <c r="K5" s="63"/>
      <c r="L5" s="63"/>
      <c r="M5" s="63"/>
      <c r="N5" s="63"/>
      <c r="O5" s="63"/>
      <c r="P5" s="63"/>
      <c r="Q5" s="63"/>
      <c r="R5" s="64"/>
    </row>
    <row r="6" spans="8:18" x14ac:dyDescent="0.25">
      <c r="H6" s="65"/>
      <c r="I6" s="66"/>
      <c r="J6" s="66"/>
      <c r="K6" s="66"/>
      <c r="L6" s="66"/>
      <c r="M6" s="66"/>
      <c r="N6" s="66"/>
      <c r="O6" s="66"/>
      <c r="P6" s="66"/>
      <c r="Q6" s="66"/>
      <c r="R6" s="67"/>
    </row>
    <row r="7" spans="8:18" x14ac:dyDescent="0.25">
      <c r="H7" s="65"/>
      <c r="I7" s="66"/>
      <c r="J7" s="66"/>
      <c r="K7" s="66"/>
      <c r="L7" s="66"/>
      <c r="M7" s="66"/>
      <c r="N7" s="66"/>
      <c r="O7" s="66"/>
      <c r="P7" s="66"/>
      <c r="Q7" s="66"/>
      <c r="R7" s="67"/>
    </row>
    <row r="8" spans="8:18" x14ac:dyDescent="0.25">
      <c r="H8" s="65"/>
      <c r="I8" s="66"/>
      <c r="J8" s="66"/>
      <c r="K8" s="66"/>
      <c r="L8" s="66"/>
      <c r="M8" s="66"/>
      <c r="N8" s="66"/>
      <c r="O8" s="66"/>
      <c r="P8" s="66"/>
      <c r="Q8" s="66"/>
      <c r="R8" s="67"/>
    </row>
    <row r="9" spans="8:18" x14ac:dyDescent="0.25">
      <c r="H9" s="65"/>
      <c r="I9" s="66"/>
      <c r="J9" s="66"/>
      <c r="K9" s="66"/>
      <c r="L9" s="66"/>
      <c r="M9" s="66"/>
      <c r="N9" s="66"/>
      <c r="O9" s="66"/>
      <c r="P9" s="66"/>
      <c r="Q9" s="66"/>
      <c r="R9" s="67"/>
    </row>
    <row r="10" spans="8:18" x14ac:dyDescent="0.25">
      <c r="H10" s="65"/>
      <c r="I10" s="66"/>
      <c r="J10" s="66"/>
      <c r="K10" s="66"/>
      <c r="L10" s="66"/>
      <c r="M10" s="66"/>
      <c r="N10" s="66"/>
      <c r="O10" s="66"/>
      <c r="P10" s="66"/>
      <c r="Q10" s="66"/>
      <c r="R10" s="67"/>
    </row>
    <row r="11" spans="8:18" x14ac:dyDescent="0.25">
      <c r="H11" s="65"/>
      <c r="I11" s="66"/>
      <c r="J11" s="66"/>
      <c r="K11" s="66"/>
      <c r="L11" s="66"/>
      <c r="M11" s="66"/>
      <c r="N11" s="66"/>
      <c r="O11" s="66"/>
      <c r="P11" s="66"/>
      <c r="Q11" s="66"/>
      <c r="R11" s="67"/>
    </row>
    <row r="12" spans="8:18" x14ac:dyDescent="0.25">
      <c r="H12" s="65"/>
      <c r="I12" s="66"/>
      <c r="J12" s="66"/>
      <c r="K12" s="66"/>
      <c r="L12" s="66"/>
      <c r="M12" s="66"/>
      <c r="N12" s="66"/>
      <c r="O12" s="66"/>
      <c r="P12" s="66"/>
      <c r="Q12" s="66"/>
      <c r="R12" s="67"/>
    </row>
    <row r="13" spans="8:18" x14ac:dyDescent="0.25">
      <c r="H13" s="65"/>
      <c r="I13" s="66"/>
      <c r="J13" s="66"/>
      <c r="K13" s="66"/>
      <c r="L13" s="66"/>
      <c r="M13" s="66"/>
      <c r="N13" s="66"/>
      <c r="O13" s="66"/>
      <c r="P13" s="66"/>
      <c r="Q13" s="66"/>
      <c r="R13" s="67"/>
    </row>
    <row r="14" spans="8:18" x14ac:dyDescent="0.25">
      <c r="H14" s="65"/>
      <c r="I14" s="66"/>
      <c r="J14" s="66"/>
      <c r="K14" s="66"/>
      <c r="L14" s="66"/>
      <c r="M14" s="66"/>
      <c r="N14" s="66"/>
      <c r="O14" s="66"/>
      <c r="P14" s="66"/>
      <c r="Q14" s="66"/>
      <c r="R14" s="67"/>
    </row>
    <row r="15" spans="8:18" x14ac:dyDescent="0.25">
      <c r="H15" s="65"/>
      <c r="I15" s="66"/>
      <c r="J15" s="66"/>
      <c r="K15" s="66"/>
      <c r="L15" s="66"/>
      <c r="M15" s="66"/>
      <c r="N15" s="66"/>
      <c r="O15" s="66"/>
      <c r="P15" s="66"/>
      <c r="Q15" s="66"/>
      <c r="R15" s="67"/>
    </row>
    <row r="16" spans="8:18" x14ac:dyDescent="0.25">
      <c r="H16" s="65"/>
      <c r="I16" s="66"/>
      <c r="J16" s="66"/>
      <c r="K16" s="66"/>
      <c r="L16" s="66"/>
      <c r="M16" s="66"/>
      <c r="N16" s="66"/>
      <c r="O16" s="66"/>
      <c r="P16" s="66"/>
      <c r="Q16" s="66"/>
      <c r="R16" s="67"/>
    </row>
    <row r="17" spans="8:18" x14ac:dyDescent="0.25">
      <c r="H17" s="65"/>
      <c r="I17" s="66"/>
      <c r="J17" s="66"/>
      <c r="K17" s="66"/>
      <c r="L17" s="66"/>
      <c r="M17" s="66"/>
      <c r="N17" s="66"/>
      <c r="O17" s="66"/>
      <c r="P17" s="66"/>
      <c r="Q17" s="66"/>
      <c r="R17" s="67"/>
    </row>
    <row r="18" spans="8:18" x14ac:dyDescent="0.25">
      <c r="H18" s="65"/>
      <c r="I18" s="66"/>
      <c r="J18" s="66"/>
      <c r="K18" s="66"/>
      <c r="L18" s="66"/>
      <c r="M18" s="66"/>
      <c r="N18" s="66"/>
      <c r="O18" s="66"/>
      <c r="P18" s="66"/>
      <c r="Q18" s="66"/>
      <c r="R18" s="67"/>
    </row>
    <row r="19" spans="8:18" x14ac:dyDescent="0.25">
      <c r="H19" s="65"/>
      <c r="I19" s="66"/>
      <c r="J19" s="66"/>
      <c r="K19" s="66"/>
      <c r="L19" s="66"/>
      <c r="M19" s="66"/>
      <c r="N19" s="66"/>
      <c r="O19" s="66"/>
      <c r="P19" s="66"/>
      <c r="Q19" s="66"/>
      <c r="R19" s="67"/>
    </row>
    <row r="20" spans="8:18" x14ac:dyDescent="0.25">
      <c r="H20" s="65"/>
      <c r="I20" s="66"/>
      <c r="J20" s="66"/>
      <c r="K20" s="66"/>
      <c r="L20" s="66"/>
      <c r="M20" s="66"/>
      <c r="N20" s="66"/>
      <c r="O20" s="66"/>
      <c r="P20" s="66"/>
      <c r="Q20" s="66"/>
      <c r="R20" s="67"/>
    </row>
    <row r="21" spans="8:18" x14ac:dyDescent="0.25">
      <c r="H21" s="65"/>
      <c r="I21" s="66"/>
      <c r="J21" s="66"/>
      <c r="K21" s="66"/>
      <c r="L21" s="66"/>
      <c r="M21" s="66"/>
      <c r="N21" s="66"/>
      <c r="O21" s="66"/>
      <c r="P21" s="66"/>
      <c r="Q21" s="66"/>
      <c r="R21" s="67"/>
    </row>
    <row r="22" spans="8:18" x14ac:dyDescent="0.25">
      <c r="H22" s="65"/>
      <c r="I22" s="66"/>
      <c r="J22" s="66"/>
      <c r="K22" s="66"/>
      <c r="L22" s="66"/>
      <c r="M22" s="66"/>
      <c r="N22" s="66"/>
      <c r="O22" s="66"/>
      <c r="P22" s="66"/>
      <c r="Q22" s="66"/>
      <c r="R22" s="67"/>
    </row>
    <row r="23" spans="8:18" x14ac:dyDescent="0.25">
      <c r="H23" s="65"/>
      <c r="I23" s="66"/>
      <c r="J23" s="66"/>
      <c r="K23" s="66"/>
      <c r="L23" s="66"/>
      <c r="M23" s="66"/>
      <c r="N23" s="66"/>
      <c r="O23" s="66"/>
      <c r="P23" s="66"/>
      <c r="Q23" s="66"/>
      <c r="R23" s="67"/>
    </row>
    <row r="24" spans="8:18" x14ac:dyDescent="0.25">
      <c r="H24" s="65"/>
      <c r="I24" s="66"/>
      <c r="J24" s="66"/>
      <c r="K24" s="66"/>
      <c r="L24" s="66"/>
      <c r="M24" s="66"/>
      <c r="N24" s="66"/>
      <c r="O24" s="66"/>
      <c r="P24" s="66"/>
      <c r="Q24" s="66"/>
      <c r="R24" s="67"/>
    </row>
    <row r="25" spans="8:18" ht="15.75" thickBot="1" x14ac:dyDescent="0.3">
      <c r="H25" s="68"/>
      <c r="I25" s="69"/>
      <c r="J25" s="69"/>
      <c r="K25" s="69"/>
      <c r="L25" s="69"/>
      <c r="M25" s="69"/>
      <c r="N25" s="69"/>
      <c r="O25" s="69"/>
      <c r="P25" s="69"/>
      <c r="Q25" s="69"/>
      <c r="R25" s="7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21DF-C0BB-4992-B7AA-7546430B897B}">
  <dimension ref="F2:Q24"/>
  <sheetViews>
    <sheetView workbookViewId="0">
      <selection activeCell="I24" sqref="I24"/>
    </sheetView>
  </sheetViews>
  <sheetFormatPr defaultRowHeight="15" x14ac:dyDescent="0.25"/>
  <sheetData>
    <row r="2" spans="6:17" ht="15.75" thickBot="1" x14ac:dyDescent="0.3"/>
    <row r="3" spans="6:17" x14ac:dyDescent="0.25"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3"/>
    </row>
    <row r="4" spans="6:17" x14ac:dyDescent="0.25">
      <c r="F4" s="74"/>
      <c r="G4" s="75"/>
      <c r="H4" s="75"/>
      <c r="I4" s="75"/>
      <c r="J4" s="75"/>
      <c r="K4" s="75"/>
      <c r="L4" s="75"/>
      <c r="M4" s="75"/>
      <c r="N4" s="75"/>
      <c r="O4" s="75"/>
      <c r="P4" s="75"/>
      <c r="Q4" s="76"/>
    </row>
    <row r="5" spans="6:17" x14ac:dyDescent="0.25"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6"/>
    </row>
    <row r="6" spans="6:17" x14ac:dyDescent="0.25">
      <c r="F6" s="74"/>
      <c r="G6" s="75"/>
      <c r="H6" s="75"/>
      <c r="I6" s="75"/>
      <c r="J6" s="75"/>
      <c r="K6" s="75"/>
      <c r="L6" s="75"/>
      <c r="M6" s="75"/>
      <c r="N6" s="75"/>
      <c r="O6" s="75"/>
      <c r="P6" s="75"/>
      <c r="Q6" s="76"/>
    </row>
    <row r="7" spans="6:17" x14ac:dyDescent="0.25"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6"/>
    </row>
    <row r="8" spans="6:17" x14ac:dyDescent="0.25">
      <c r="F8" s="74"/>
      <c r="G8" s="75"/>
      <c r="H8" s="75"/>
      <c r="I8" s="75"/>
      <c r="J8" s="75"/>
      <c r="K8" s="75"/>
      <c r="L8" s="75"/>
      <c r="M8" s="75"/>
      <c r="N8" s="75"/>
      <c r="O8" s="75"/>
      <c r="P8" s="75"/>
      <c r="Q8" s="76"/>
    </row>
    <row r="9" spans="6:17" x14ac:dyDescent="0.25">
      <c r="F9" s="74"/>
      <c r="G9" s="75"/>
      <c r="H9" s="75"/>
      <c r="I9" s="75"/>
      <c r="J9" s="75"/>
      <c r="K9" s="75"/>
      <c r="L9" s="75"/>
      <c r="M9" s="75"/>
      <c r="N9" s="75"/>
      <c r="O9" s="75"/>
      <c r="P9" s="75"/>
      <c r="Q9" s="76"/>
    </row>
    <row r="10" spans="6:17" x14ac:dyDescent="0.25">
      <c r="F10" s="74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6"/>
    </row>
    <row r="11" spans="6:17" x14ac:dyDescent="0.25">
      <c r="F11" s="7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6"/>
    </row>
    <row r="12" spans="6:17" x14ac:dyDescent="0.25">
      <c r="F12" s="7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6:17" x14ac:dyDescent="0.25">
      <c r="F13" s="74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6"/>
    </row>
    <row r="14" spans="6:17" x14ac:dyDescent="0.25">
      <c r="F14" s="74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6"/>
    </row>
    <row r="15" spans="6:17" x14ac:dyDescent="0.25">
      <c r="F15" s="74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6"/>
    </row>
    <row r="16" spans="6:17" x14ac:dyDescent="0.25">
      <c r="F16" s="74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6"/>
    </row>
    <row r="17" spans="6:17" x14ac:dyDescent="0.25">
      <c r="F17" s="74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6"/>
    </row>
    <row r="18" spans="6:17" x14ac:dyDescent="0.25">
      <c r="F18" s="74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6"/>
    </row>
    <row r="19" spans="6:17" x14ac:dyDescent="0.25">
      <c r="F19" s="74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6"/>
    </row>
    <row r="20" spans="6:17" ht="15.75" thickBot="1" x14ac:dyDescent="0.3">
      <c r="F20" s="77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9"/>
    </row>
    <row r="24" spans="6:17" x14ac:dyDescent="0.25">
      <c r="I24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8A6A04-3185-4FE8-BF6D-0360426F06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</vt:lpstr>
      <vt:lpstr>Pie Chart - Each Subject</vt:lpstr>
      <vt:lpstr>Bar Chart 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DellHope7</dc:creator>
  <cp:lastModifiedBy>DellHope7</cp:lastModifiedBy>
  <dcterms:created xsi:type="dcterms:W3CDTF">2023-08-03T05:48:37Z</dcterms:created>
  <dcterms:modified xsi:type="dcterms:W3CDTF">2023-08-08T06:33:09Z</dcterms:modified>
</cp:coreProperties>
</file>